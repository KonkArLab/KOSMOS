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KOSMOS\docs\doc\magpi\"/>
    </mc:Choice>
  </mc:AlternateContent>
  <xr:revisionPtr revIDLastSave="0" documentId="13_ncr:1_{F179D8E6-D4BB-4A2A-AD4A-5CB06C052053}" xr6:coauthVersionLast="47" xr6:coauthVersionMax="47" xr10:uidLastSave="{00000000-0000-0000-0000-000000000000}"/>
  <bookViews>
    <workbookView xWindow="22932" yWindow="-4872" windowWidth="30936" windowHeight="16896" tabRatio="500" xr2:uid="{00000000-000D-0000-FFFF-FFFF00000000}"/>
  </bookViews>
  <sheets>
    <sheet name="Liste_Materi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1" l="1"/>
  <c r="J9" i="1"/>
  <c r="J35" i="1"/>
  <c r="J19" i="1" l="1"/>
  <c r="J18" i="1"/>
  <c r="J16" i="1"/>
  <c r="J15" i="1"/>
  <c r="J14" i="1"/>
  <c r="J42" i="1" l="1"/>
  <c r="J36" i="1"/>
  <c r="J37" i="1"/>
  <c r="J39" i="1"/>
  <c r="J40" i="1"/>
  <c r="J41" i="1"/>
  <c r="J26" i="1"/>
  <c r="J27" i="1"/>
  <c r="J28" i="1"/>
  <c r="J29" i="1"/>
  <c r="J30" i="1"/>
  <c r="J31" i="1"/>
  <c r="J32" i="1"/>
  <c r="J33" i="1"/>
  <c r="J34" i="1"/>
  <c r="J6" i="1"/>
  <c r="J7" i="1"/>
  <c r="J8" i="1"/>
  <c r="J11" i="1"/>
  <c r="J12" i="1"/>
  <c r="J13" i="1"/>
  <c r="J17" i="1"/>
  <c r="J21" i="1"/>
  <c r="J22" i="1"/>
  <c r="J23" i="1"/>
  <c r="J24" i="1"/>
  <c r="J25" i="1"/>
  <c r="J5" i="1"/>
  <c r="I38" i="1"/>
  <c r="J38" i="1" s="1"/>
  <c r="B1" i="1" l="1"/>
</calcChain>
</file>

<file path=xl/sharedStrings.xml><?xml version="1.0" encoding="utf-8"?>
<sst xmlns="http://schemas.openxmlformats.org/spreadsheetml/2006/main" count="166" uniqueCount="126">
  <si>
    <t>Dernière mise à jour :</t>
  </si>
  <si>
    <t>Désignation fournisseur</t>
  </si>
  <si>
    <t>Référence fournisseur</t>
  </si>
  <si>
    <t>Fournisseur</t>
  </si>
  <si>
    <t>Lien fournisseur</t>
  </si>
  <si>
    <t>Quantité</t>
  </si>
  <si>
    <t>Prix unitaire (HT)</t>
  </si>
  <si>
    <t>Prix unitaire (TTC)</t>
  </si>
  <si>
    <t>Prix total (TTC)</t>
  </si>
  <si>
    <t>Raspberry Pi</t>
  </si>
  <si>
    <t>Batterie RTC</t>
  </si>
  <si>
    <t>Batterie RTC pour Raspberry Pi 5</t>
  </si>
  <si>
    <t>Dissipateurs thermiques</t>
  </si>
  <si>
    <t>Set de 4 heat sinks aluminium</t>
  </si>
  <si>
    <t>Caméra</t>
  </si>
  <si>
    <t>Objectif à Distance Focale Fixe Série UC 4 mm</t>
  </si>
  <si>
    <t>Edmund Optics</t>
  </si>
  <si>
    <t>http://edmundoptics.fr/p/4mm-uc-series-fixed-focal-length-lens/2966/</t>
  </si>
  <si>
    <t>Gotronic</t>
  </si>
  <si>
    <t>Amazon</t>
  </si>
  <si>
    <t>Kit supports Raspberry Pi HAT</t>
  </si>
  <si>
    <t>https://www.amazon.fr/Geekworm-Raspberry-Installation-Hexagonale-Accessoires/dp/B07MN2GY6Y/ref=sr_1_21</t>
  </si>
  <si>
    <t>Cosses + pince à sertir</t>
  </si>
  <si>
    <t>Jeu de rilsans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</si>
  <si>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</si>
  <si>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</si>
  <si>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</si>
  <si>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</si>
  <si>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BMS 3S</t>
  </si>
  <si>
    <t>Circuit de protection BMS 3S avec fonction d'équilibrage (OT3568)</t>
  </si>
  <si>
    <t>Otronic</t>
  </si>
  <si>
    <t>https://www.otronic.nl/fr/circuit-de-protection-bms-3s-avec-fonction-dequili.html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</si>
  <si>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</si>
  <si>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</si>
  <si>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</si>
  <si>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</si>
  <si>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</si>
  <si>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</si>
  <si>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</si>
  <si>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</si>
  <si>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</si>
  <si>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Câbles d’équilibrage</t>
  </si>
  <si>
    <t>Cordon JST PH femelle 4 cts JST4 vers fils - avec embase JST mâle à souder</t>
  </si>
  <si>
    <t>https://www.gotronic.fr/art-cordon-jst-ph-femelle-4-cts-jst4-22571.htm</t>
  </si>
  <si>
    <t>O Fauvarque</t>
  </si>
  <si>
    <t>Raspberry Pi 5 - 8GB</t>
  </si>
  <si>
    <t>Nappe caméra 15 cm</t>
  </si>
  <si>
    <t>Jeu de 75 serre-câbles TF01</t>
  </si>
  <si>
    <t>GOTRONIC</t>
  </si>
  <si>
    <t>AMAZON</t>
  </si>
  <si>
    <t>EDMUND</t>
  </si>
  <si>
    <t>Video</t>
  </si>
  <si>
    <t>Caisson concerné</t>
  </si>
  <si>
    <t>Batterie</t>
  </si>
  <si>
    <t>CONRAD</t>
  </si>
  <si>
    <t>Consommables</t>
  </si>
  <si>
    <t>Consommables + outil</t>
  </si>
  <si>
    <t>Vidéo</t>
  </si>
  <si>
    <t>Description KOSMOS</t>
  </si>
  <si>
    <t>37353</t>
  </si>
  <si>
    <t>Nappe caméra pour Pi Zero RB0-CAM-15</t>
  </si>
  <si>
    <t>Geekworm Outil d'Installation pour Raspberry Pi - 100 pcs M2.5 Hex Brass Spacer/Standoff + Écrou + Vis - Accessoires pour Raspberry Pi 5/4/3 B+/3B/3A+/Zero W</t>
  </si>
  <si>
    <t>Soudeur par Points Réglable pour Batteries 8000W, Soudeuse à Point Portable 0,1-0,3mm avec Double Sortie D'impulsion 1-9 Vitesses Réglable par Pédale pour Fabrication de Packs de Batteries</t>
  </si>
  <si>
    <t>Soudeuse par points</t>
  </si>
  <si>
    <t>Outil</t>
  </si>
  <si>
    <t>https://www.amazon.fr/Neulriscn-R%C3%A9glable-Batteries-Dimpulsion-Fabrication/dp/B0DNQHWD2Q/ref=sr_1_1?__mk_fr_FR=%C3%85M%C3%85%C5%BD%C3%95%C3%91&amp;s=hi&amp;sr=1-1</t>
  </si>
  <si>
    <t>Carte micro SD 256 GB</t>
  </si>
  <si>
    <t>https://www.gotronic.fr/art-batterie-rtc-pour-raspberry-pi-5-38451.htm</t>
  </si>
  <si>
    <t>https://www.gotronic.fr/art-radiateurs-economiques-pour-raspberry-pi-4b-32410.htm</t>
  </si>
  <si>
    <t>https://www.gotronic.fr/art-nappe-camera-pour-pi-zero-rb0-cam-15-33987.htm</t>
  </si>
  <si>
    <t>https://www.gotronic.fr/art-jeu-de-75-serre-cables-tf01-6382.htm</t>
  </si>
  <si>
    <t>Pince à Sertir,Pinces à Sertir à Cliquet a 0.5-10mm², Pince à Cosse de Câblevec Electrique 1250pcs AWG22-8 Outil de Sertissage de Ferrule pour soudage électrique ou les industries électriques</t>
  </si>
  <si>
    <t>https://www.amazon.fr/Electrique-Sertissage-%C3%A9lectrique-industries-%C3%A9lectriques/dp/B0DPHPJDDP/ref=sr_1_1?__mk_fr_FR=%C3%85M%C3%85%C5%BD%C3%95%C3%91&amp;sr=8-1</t>
  </si>
  <si>
    <t>https://www.amazon.fr/EUYKQNOI-Inoxydable-Monopode-Compatible-Manfrotto/dp/B0F6Y4L5RC/ref=sr_1_2?__mk_fr_FR=%C3%85M%C3%85%C5%BD%C3%95%C3%91&amp;sr=8-2</t>
  </si>
  <si>
    <t>2 Vis 1/4" en Acier Inoxydable avec Anneau D pour Trépied, Monopode et Plaque Rapide, Compatible Appareil Photo DSLR, Kodak, SmallRig, Manfrotto – Vis de Montage Caméra Professionnelle</t>
  </si>
  <si>
    <t>Cable recharge</t>
  </si>
  <si>
    <t>Fiche femelle 30 A XT60-F</t>
  </si>
  <si>
    <t>49285</t>
  </si>
  <si>
    <t>https://www.gotronic.fr/art-fiche-alim--f-xt60-47680.htm</t>
  </si>
  <si>
    <t>Connecteur  XT60 femelle</t>
  </si>
  <si>
    <t>Connecteur XT60 mâle</t>
  </si>
  <si>
    <t>Fiche mâle 30 A XT60-M</t>
  </si>
  <si>
    <t>49286</t>
  </si>
  <si>
    <t>https://www.gotronic.fr/art-fiche-alim--m-xt60-47681.htm</t>
  </si>
  <si>
    <t>Câble silicone CS9040N</t>
  </si>
  <si>
    <t>08812</t>
  </si>
  <si>
    <t>https://www.gotronic.fr/art-cable-silicone-cs9040n-5112.htm</t>
  </si>
  <si>
    <t>Fil silicone noir</t>
  </si>
  <si>
    <t>Câble silicone CS9040R</t>
  </si>
  <si>
    <t>https://www.gotronic.fr/art-cable-silicone-cs9040r-5115.htm</t>
  </si>
  <si>
    <t>Fil silicone rouge</t>
  </si>
  <si>
    <t>08817</t>
  </si>
  <si>
    <t>Fiche banane 1010N</t>
  </si>
  <si>
    <t>https://www.gotronic.fr/art-fiche-banane-1010n-178.htm</t>
  </si>
  <si>
    <t>08240</t>
  </si>
  <si>
    <t>Fiche banane 1010R</t>
  </si>
  <si>
    <t>https://www.gotronic.fr/art-fiche-banane-1010r-179.htm</t>
  </si>
  <si>
    <t>08241</t>
  </si>
  <si>
    <t>Connecteur banane noir</t>
  </si>
  <si>
    <t>Connecteur banne rouge</t>
  </si>
  <si>
    <t>Caméra 1,6 Mpx C/CS SC0926</t>
  </si>
  <si>
    <t>38395</t>
  </si>
  <si>
    <t>https://www.gotronic.fr/art-camera-1-6-mpx-c-cs-sc0926-37487.htm</t>
  </si>
  <si>
    <t>Electronique</t>
  </si>
  <si>
    <t>Pieuvre</t>
  </si>
  <si>
    <t>Connecteurs XT30</t>
  </si>
  <si>
    <t>https://www.amazon.fr/YIXISI-Batterie-Connecteur-Femelle-Thermor%C3%A9tractable/dp/B0CF898DV3</t>
  </si>
  <si>
    <t>YIXISI 15 Paires XT30 Batterie Connecteur, XT30 Connecteur mâle et Femelle, avec Thermorétractable Tube, pour RC Lipo Battery</t>
  </si>
  <si>
    <t>Caméra (solution 1)</t>
  </si>
  <si>
    <t>Caméra (solution 2)</t>
  </si>
  <si>
    <t>Caméra HQ 12 Mpx C/CS SC0261</t>
  </si>
  <si>
    <t>Caméra (solution 1 bis)</t>
  </si>
  <si>
    <t>37327</t>
  </si>
  <si>
    <t>https://www.gotronic.fr/art-camera-hq-12-mpx-c-cs-sc0261-33781.htm</t>
  </si>
  <si>
    <t>Module caméra 5 Mpx B0033</t>
  </si>
  <si>
    <t>https://www.gotronic.fr/art-module-camera-5-mpx-b0033-24876.htm</t>
  </si>
  <si>
    <t>34496</t>
  </si>
  <si>
    <t>Objectif caméra (solution 1 &amp; 1bis)</t>
  </si>
  <si>
    <t>#33-300</t>
  </si>
  <si>
    <t>Vis caméra (solution 1 &amp; 1bis)</t>
  </si>
  <si>
    <t>https://www.gotronic.fr/art-carte-raspberry-pi-5-2-gb-39733.htm</t>
  </si>
  <si>
    <t>38912</t>
  </si>
  <si>
    <t>RS</t>
  </si>
  <si>
    <t>Micro SD 256 Go PLAY microSDXC UHS-I Card Lexar MicroSDXC UHS-I, A1, Classe 10</t>
  </si>
  <si>
    <t>254-2664</t>
  </si>
  <si>
    <t>https://fr.rs-online.com/web/p/cartes-sd/2542664?gb=a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</si>
</sst>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26" x14ac:knownFonts="1">
    <font>
      <sz val="11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sz val="18"/>
      <color rgb="FF000000"/>
      <name val="Arial"/>
      <charset val="1"/>
    </font>
    <font>
      <sz val="12"/>
      <color rgb="FF000000"/>
      <name val="Arial"/>
      <charset val="1"/>
    </font>
    <font>
      <b/>
      <sz val="24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b/>
      <i/>
      <u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charset val="1"/>
    </font>
    <font>
      <sz val="11"/>
      <name val="Arial"/>
      <family val="2"/>
      <charset val="1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b/>
      <sz val="18"/>
      <color rgb="FF000000"/>
      <name val="Arial"/>
      <family val="2"/>
    </font>
    <font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19" fillId="0" borderId="0" applyBorder="0" applyProtection="0"/>
    <xf numFmtId="0" fontId="21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1" fillId="0" borderId="0">
      <alignment horizontal="left"/>
    </xf>
    <xf numFmtId="0" fontId="21" fillId="0" borderId="0"/>
    <xf numFmtId="0" fontId="21" fillId="0" borderId="0"/>
    <xf numFmtId="0" fontId="4" fillId="7" borderId="1"/>
    <xf numFmtId="0" fontId="21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1" fillId="12" borderId="0"/>
    <xf numFmtId="0" fontId="21" fillId="0" borderId="0"/>
    <xf numFmtId="0" fontId="21" fillId="0" borderId="0"/>
    <xf numFmtId="0" fontId="4" fillId="0" borderId="0">
      <alignment horizontal="left"/>
    </xf>
    <xf numFmtId="0" fontId="21" fillId="0" borderId="0"/>
    <xf numFmtId="0" fontId="3" fillId="0" borderId="0"/>
  </cellStyleXfs>
  <cellXfs count="59">
    <xf numFmtId="0" fontId="0" fillId="0" borderId="0" xfId="0"/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4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0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left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 vertical="center"/>
    </xf>
    <xf numFmtId="164" fontId="18" fillId="0" borderId="0" xfId="0" applyNumberFormat="1" applyFont="1" applyBorder="1" applyAlignment="1" applyProtection="1">
      <alignment horizontal="center" vertical="center"/>
    </xf>
    <xf numFmtId="0" fontId="19" fillId="0" borderId="2" xfId="1" applyBorder="1" applyProtection="1"/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164" fontId="18" fillId="0" borderId="2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 vertical="center"/>
    </xf>
    <xf numFmtId="0" fontId="17" fillId="0" borderId="2" xfId="0" applyFont="1" applyFill="1" applyBorder="1" applyAlignment="1" applyProtection="1">
      <alignment horizontal="center" vertical="center" wrapText="1"/>
    </xf>
    <xf numFmtId="164" fontId="17" fillId="0" borderId="2" xfId="0" applyNumberFormat="1" applyFont="1" applyFill="1" applyBorder="1" applyAlignment="1" applyProtection="1">
      <alignment horizontal="center" vertical="center" wrapText="1"/>
    </xf>
    <xf numFmtId="0" fontId="23" fillId="0" borderId="2" xfId="0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 wrapText="1"/>
    </xf>
    <xf numFmtId="164" fontId="0" fillId="0" borderId="2" xfId="0" applyNumberFormat="1" applyFill="1" applyBorder="1" applyAlignment="1" applyProtection="1">
      <alignment horizontal="center" vertical="center"/>
    </xf>
    <xf numFmtId="164" fontId="15" fillId="0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18" fillId="0" borderId="0" xfId="0" applyFont="1" applyFill="1" applyAlignment="1" applyProtection="1"/>
    <xf numFmtId="0" fontId="25" fillId="0" borderId="0" xfId="0" applyFont="1" applyBorder="1" applyAlignment="1" applyProtection="1">
      <alignment horizontal="left" vertical="center"/>
    </xf>
    <xf numFmtId="0" fontId="22" fillId="0" borderId="2" xfId="0" applyFont="1" applyBorder="1" applyAlignment="1" applyProtection="1"/>
    <xf numFmtId="49" fontId="15" fillId="0" borderId="2" xfId="0" applyNumberFormat="1" applyFont="1" applyBorder="1" applyAlignment="1" applyProtection="1">
      <alignment horizontal="left" vertical="center"/>
    </xf>
    <xf numFmtId="49" fontId="0" fillId="0" borderId="2" xfId="0" applyNumberForma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 wrapText="1"/>
    </xf>
    <xf numFmtId="49" fontId="15" fillId="0" borderId="2" xfId="0" applyNumberFormat="1" applyFont="1" applyFill="1" applyBorder="1" applyAlignment="1" applyProtection="1">
      <alignment horizontal="left" vertical="center"/>
    </xf>
  </cellXfs>
  <cellStyles count="29">
    <cellStyle name="A commander" xfId="2" xr:uid="{00000000-0005-0000-0000-000006000000}"/>
    <cellStyle name="Accent 1 5" xfId="3" xr:uid="{00000000-0005-0000-0000-000007000000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fr/MMOBIEL-Polyimide-longueur-Antistatique-R%C3%A9sistant/dp/B07W4KWKKB" TargetMode="External"/><Relationship Id="rId13" Type="http://schemas.openxmlformats.org/officeDocument/2006/relationships/hyperlink" Target="https://www.gotronic.fr/art-batterie-rtc-pour-raspberry-pi-5-38451.htm" TargetMode="External"/><Relationship Id="rId18" Type="http://schemas.openxmlformats.org/officeDocument/2006/relationships/hyperlink" Target="https://www.gotronic.fr/art-fiche-alim--m-xt60-47681.ht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edmundoptics.fr/p/4mm-uc-series-fixed-focal-length-lens/2966/" TargetMode="External"/><Relationship Id="rId21" Type="http://schemas.openxmlformats.org/officeDocument/2006/relationships/hyperlink" Target="https://www.gotronic.fr/art-fiche-banane-1010r-179.htm" TargetMode="External"/><Relationship Id="rId7" Type="http://schemas.openxmlformats.org/officeDocument/2006/relationships/hyperlink" Target="https://www.amazon.fr/Plaque-batterie-Soudure-Compatible-Soudeur/dp/B09TT4KMLB" TargetMode="External"/><Relationship Id="rId12" Type="http://schemas.openxmlformats.org/officeDocument/2006/relationships/hyperlink" Target="https://www.gotronic.fr/art-carte-raspberry-pi-5-2-gb-39733.htm" TargetMode="External"/><Relationship Id="rId17" Type="http://schemas.openxmlformats.org/officeDocument/2006/relationships/hyperlink" Target="https://www.gotronic.fr/art-fiche-alim--f-xt60-47680.htm" TargetMode="External"/><Relationship Id="rId25" Type="http://schemas.openxmlformats.org/officeDocument/2006/relationships/hyperlink" Target="https://www.gotronic.fr/art-jeu-de-75-serre-cables-tf01-6382.htm" TargetMode="External"/><Relationship Id="rId2" Type="http://schemas.openxmlformats.org/officeDocument/2006/relationships/hyperlink" Target="https://www.amazon.fr/Electrique-Sertissage-%C3%A9lectrique-industries-%C3%A9lectriques/dp/B0DPHPJDDP/ref=sr_1_1?__mk_fr_FR=%C3%85M%C3%85%C5%BD%C3%95%C3%91&amp;sr=8-1" TargetMode="External"/><Relationship Id="rId16" Type="http://schemas.openxmlformats.org/officeDocument/2006/relationships/hyperlink" Target="https://www.gotronic.fr/art-nappe-camera-pour-pi-zero-rb0-cam-15-33987.htm" TargetMode="External"/><Relationship Id="rId20" Type="http://schemas.openxmlformats.org/officeDocument/2006/relationships/hyperlink" Target="https://www.gotronic.fr/art-cable-silicone-cs9040r-5115.htm" TargetMode="External"/><Relationship Id="rId1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6" Type="http://schemas.openxmlformats.org/officeDocument/2006/relationships/hyperlink" Target="https://www.amazon.fr/Supernight-Convertisseurs-Transformer-Adjustable-Electricity/dp/B079M9CHV9" TargetMode="External"/><Relationship Id="rId11" Type="http://schemas.openxmlformats.org/officeDocument/2006/relationships/hyperlink" Target="https://www.amazon.fr/EUYKQNOI-Inoxydable-Monopode-Compatible-Manfrotto/dp/B0F6Y4L5RC/ref=sr_1_2?__mk_fr_FR=%C3%85M%C3%85%C5%BD%C3%95%C3%91&amp;sr=8-2" TargetMode="External"/><Relationship Id="rId24" Type="http://schemas.openxmlformats.org/officeDocument/2006/relationships/hyperlink" Target="https://www.gotronic.fr/art-camera-hq-12-mpx-c-cs-sc0261-33781.htm" TargetMode="External"/><Relationship Id="rId5" Type="http://schemas.openxmlformats.org/officeDocument/2006/relationships/hyperlink" Target="https://www.otronic.nl/fr/circuit-de-protection-bms-3s-avec-fonction-dequili.html" TargetMode="External"/><Relationship Id="rId15" Type="http://schemas.openxmlformats.org/officeDocument/2006/relationships/hyperlink" Target="https://www.gotronic.fr/art-camera-1-6-mpx-c-cs-sc0926-37487.htm" TargetMode="External"/><Relationship Id="rId23" Type="http://schemas.openxmlformats.org/officeDocument/2006/relationships/hyperlink" Target="https://www.gotronic.fr/art-module-camera-5-mpx-b0033-24876.htm" TargetMode="External"/><Relationship Id="rId10" Type="http://schemas.openxmlformats.org/officeDocument/2006/relationships/hyperlink" Target="https://www.amazon.fr/Neulriscn-R%C3%A9glable-Batteries-Dimpulsion-Fabrication/dp/B0DNQHWD2Q/ref=sr_1_1?__mk_fr_FR=%C3%85M%C3%85%C5%BD%C3%95%C3%91&amp;s=hi&amp;sr=1-1" TargetMode="External"/><Relationship Id="rId19" Type="http://schemas.openxmlformats.org/officeDocument/2006/relationships/hyperlink" Target="https://www.gotronic.fr/art-cable-silicone-cs9040n-5112.htm" TargetMode="External"/><Relationship Id="rId4" Type="http://schemas.openxmlformats.org/officeDocument/2006/relationships/hyperlink" Target="https://www.gotronic.fr/art-cordon-jst-ph-femelle-4-cts-jst4-22571.htm" TargetMode="External"/><Relationship Id="rId9" Type="http://schemas.openxmlformats.org/officeDocument/2006/relationships/hyperlink" Target="https://www.amazon.fr/Geekworm-Raspberry-Installation-Hexagonale-Accessoires/dp/B07MN2GY6Y/ref=sr_1_21" TargetMode="External"/><Relationship Id="rId14" Type="http://schemas.openxmlformats.org/officeDocument/2006/relationships/hyperlink" Target="https://www.gotronic.fr/art-radiateurs-economiques-pour-raspberry-pi-4b-32410.htm" TargetMode="External"/><Relationship Id="rId22" Type="http://schemas.openxmlformats.org/officeDocument/2006/relationships/hyperlink" Target="https://www.amazon.fr/YIXISI-Batterie-Connecteur-Femelle-Thermor%C3%A9tractable/dp/B0CF898D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96"/>
  <sheetViews>
    <sheetView tabSelected="1" zoomScale="85" zoomScaleNormal="85" workbookViewId="0">
      <pane ySplit="3" topLeftCell="A4" activePane="bottomLeft" state="frozen"/>
      <selection pane="bottomLeft" activeCell="E12" sqref="E12:E19"/>
    </sheetView>
  </sheetViews>
  <sheetFormatPr baseColWidth="10" defaultColWidth="10.59765625" defaultRowHeight="13.8" x14ac:dyDescent="0.25"/>
  <cols>
    <col min="1" max="1" width="19.3984375" style="4" customWidth="1"/>
    <col min="2" max="2" width="22.796875" style="3" customWidth="1"/>
    <col min="3" max="3" width="34.5" style="1" customWidth="1"/>
    <col min="4" max="4" width="49.3984375" style="2" customWidth="1"/>
    <col min="5" max="5" width="18.59765625" style="3" customWidth="1"/>
    <col min="6" max="6" width="57.09765625" style="3" customWidth="1"/>
    <col min="7" max="7" width="12.69921875" style="4" customWidth="1"/>
    <col min="8" max="8" width="11.796875" style="5" customWidth="1"/>
    <col min="9" max="9" width="14" style="5" customWidth="1"/>
    <col min="10" max="10" width="13.296875" style="5" customWidth="1"/>
    <col min="11" max="11" width="23.3984375" style="1" customWidth="1"/>
    <col min="12" max="1016" width="10.69921875" style="1" customWidth="1"/>
    <col min="1017" max="16376" width="10.59765625" style="6"/>
    <col min="16377" max="16379" width="10.69921875" style="1" customWidth="1"/>
    <col min="16380" max="16380" width="10.69921875" style="7" customWidth="1"/>
    <col min="16381" max="16381" width="10.5" style="6" customWidth="1"/>
    <col min="16382" max="16384" width="10.5" style="7" customWidth="1"/>
  </cols>
  <sheetData>
    <row r="1" spans="1:10 16380:16382" ht="39.75" customHeight="1" x14ac:dyDescent="0.25">
      <c r="A1" s="8" t="s">
        <v>0</v>
      </c>
      <c r="B1" s="9">
        <f ca="1">TODAY()</f>
        <v>46293</v>
      </c>
      <c r="C1" s="57"/>
      <c r="D1" s="57"/>
      <c r="F1" s="53" t="s">
        <v>44</v>
      </c>
      <c r="G1" s="10"/>
      <c r="H1" s="11"/>
      <c r="I1" s="12"/>
    </row>
    <row r="2" spans="1:10 16380:16382" ht="19.95" customHeight="1" x14ac:dyDescent="0.25"/>
    <row r="3" spans="1:10 16380:16382" s="15" customFormat="1" ht="62.4" customHeight="1" x14ac:dyDescent="0.3">
      <c r="A3" s="13" t="s">
        <v>3</v>
      </c>
      <c r="B3" s="13" t="s">
        <v>52</v>
      </c>
      <c r="C3" s="13" t="s">
        <v>58</v>
      </c>
      <c r="D3" s="13" t="s">
        <v>1</v>
      </c>
      <c r="E3" s="13" t="s">
        <v>2</v>
      </c>
      <c r="F3" s="13" t="s">
        <v>4</v>
      </c>
      <c r="G3" s="13" t="s">
        <v>5</v>
      </c>
      <c r="H3" s="14" t="s">
        <v>6</v>
      </c>
      <c r="I3" s="14" t="s">
        <v>7</v>
      </c>
      <c r="J3" s="14" t="s">
        <v>8</v>
      </c>
      <c r="XEZ3" s="7"/>
      <c r="XFA3" s="16"/>
      <c r="XFB3" s="7"/>
    </row>
    <row r="4" spans="1:10 16380:16382" s="50" customFormat="1" ht="19.95" customHeight="1" x14ac:dyDescent="0.3">
      <c r="A4" s="46" t="s">
        <v>48</v>
      </c>
      <c r="B4" s="44"/>
      <c r="C4" s="44"/>
      <c r="D4" s="44"/>
      <c r="E4" s="44"/>
      <c r="F4" s="44"/>
      <c r="G4" s="44"/>
      <c r="H4" s="45"/>
      <c r="I4" s="45"/>
      <c r="J4" s="45"/>
      <c r="XEZ4" s="51"/>
      <c r="XFA4" s="52"/>
      <c r="XFB4" s="51"/>
    </row>
    <row r="5" spans="1:10 16380:16382" s="4" customFormat="1" ht="19.95" customHeight="1" x14ac:dyDescent="0.25">
      <c r="A5" s="20" t="s">
        <v>18</v>
      </c>
      <c r="B5" s="19" t="s">
        <v>103</v>
      </c>
      <c r="C5" s="17" t="s">
        <v>9</v>
      </c>
      <c r="D5" s="18" t="s">
        <v>45</v>
      </c>
      <c r="E5" s="55" t="s">
        <v>121</v>
      </c>
      <c r="F5" s="39" t="s">
        <v>120</v>
      </c>
      <c r="G5" s="21">
        <v>1</v>
      </c>
      <c r="H5" s="22">
        <v>69.67</v>
      </c>
      <c r="I5" s="22">
        <v>86.6</v>
      </c>
      <c r="J5" s="22">
        <f>G5*I5</f>
        <v>86.6</v>
      </c>
      <c r="XEZ5" s="7"/>
      <c r="XFA5" s="6"/>
      <c r="XFB5" s="7"/>
    </row>
    <row r="6" spans="1:10 16380:16382" s="25" customFormat="1" ht="19.95" customHeight="1" x14ac:dyDescent="0.25">
      <c r="A6" s="20" t="s">
        <v>18</v>
      </c>
      <c r="B6" s="19" t="s">
        <v>103</v>
      </c>
      <c r="C6" s="23" t="s">
        <v>10</v>
      </c>
      <c r="D6" s="18" t="s">
        <v>11</v>
      </c>
      <c r="E6" s="55">
        <v>38644</v>
      </c>
      <c r="F6" s="39" t="s">
        <v>67</v>
      </c>
      <c r="G6" s="21">
        <v>1</v>
      </c>
      <c r="H6" s="24">
        <v>5.75</v>
      </c>
      <c r="I6" s="22">
        <v>6.9</v>
      </c>
      <c r="J6" s="22">
        <f t="shared" ref="J6:J42" si="0">G6*I6</f>
        <v>6.9</v>
      </c>
      <c r="XEZ6" s="7"/>
      <c r="XFA6" s="6"/>
      <c r="XFB6" s="7"/>
    </row>
    <row r="7" spans="1:10 16380:16382" s="25" customFormat="1" ht="19.95" customHeight="1" x14ac:dyDescent="0.25">
      <c r="A7" s="20" t="s">
        <v>18</v>
      </c>
      <c r="B7" s="19" t="s">
        <v>103</v>
      </c>
      <c r="C7" s="23" t="s">
        <v>12</v>
      </c>
      <c r="D7" s="18" t="s">
        <v>13</v>
      </c>
      <c r="E7" s="55">
        <v>11937</v>
      </c>
      <c r="F7" s="39" t="s">
        <v>68</v>
      </c>
      <c r="G7" s="21">
        <v>1</v>
      </c>
      <c r="H7" s="22">
        <v>1.25</v>
      </c>
      <c r="I7" s="22">
        <v>1.5</v>
      </c>
      <c r="J7" s="22">
        <f t="shared" si="0"/>
        <v>1.5</v>
      </c>
      <c r="XEZ7" s="7"/>
      <c r="XFA7" s="6"/>
      <c r="XFB7" s="7"/>
    </row>
    <row r="8" spans="1:10 16380:16382" s="30" customFormat="1" ht="19.95" customHeight="1" x14ac:dyDescent="0.25">
      <c r="A8" s="20" t="s">
        <v>18</v>
      </c>
      <c r="B8" s="19" t="s">
        <v>51</v>
      </c>
      <c r="C8" s="43" t="s">
        <v>108</v>
      </c>
      <c r="D8" s="27" t="s">
        <v>100</v>
      </c>
      <c r="E8" s="56" t="s">
        <v>101</v>
      </c>
      <c r="F8" s="39" t="s">
        <v>102</v>
      </c>
      <c r="G8" s="28">
        <v>0</v>
      </c>
      <c r="H8" s="29">
        <v>58.25</v>
      </c>
      <c r="I8" s="29">
        <v>69.900000000000006</v>
      </c>
      <c r="J8" s="22">
        <f t="shared" si="0"/>
        <v>0</v>
      </c>
      <c r="XFB8" s="7"/>
    </row>
    <row r="9" spans="1:10 16380:16382" s="30" customFormat="1" ht="19.95" customHeight="1" x14ac:dyDescent="0.25">
      <c r="A9" s="20" t="s">
        <v>18</v>
      </c>
      <c r="B9" s="19" t="s">
        <v>51</v>
      </c>
      <c r="C9" s="43" t="s">
        <v>111</v>
      </c>
      <c r="D9" s="27" t="s">
        <v>110</v>
      </c>
      <c r="E9" s="56" t="s">
        <v>112</v>
      </c>
      <c r="F9" s="39" t="s">
        <v>113</v>
      </c>
      <c r="G9" s="28">
        <v>1</v>
      </c>
      <c r="H9" s="29">
        <v>58.25</v>
      </c>
      <c r="I9" s="29">
        <v>69.900000000000006</v>
      </c>
      <c r="J9" s="22">
        <f t="shared" si="0"/>
        <v>69.900000000000006</v>
      </c>
      <c r="XFB9" s="7"/>
    </row>
    <row r="10" spans="1:10 16380:16382" s="30" customFormat="1" ht="19.95" customHeight="1" x14ac:dyDescent="0.25">
      <c r="A10" s="20" t="s">
        <v>18</v>
      </c>
      <c r="B10" s="19" t="s">
        <v>51</v>
      </c>
      <c r="C10" s="43" t="s">
        <v>109</v>
      </c>
      <c r="D10" s="27" t="s">
        <v>114</v>
      </c>
      <c r="E10" s="56" t="s">
        <v>116</v>
      </c>
      <c r="F10" s="39" t="s">
        <v>115</v>
      </c>
      <c r="G10" s="28">
        <v>0</v>
      </c>
      <c r="H10" s="29">
        <v>7.42</v>
      </c>
      <c r="I10" s="29">
        <v>8.9</v>
      </c>
      <c r="J10" s="22">
        <f t="shared" si="0"/>
        <v>0</v>
      </c>
      <c r="XFB10" s="7"/>
    </row>
    <row r="11" spans="1:10 16380:16382" s="4" customFormat="1" ht="19.95" customHeight="1" x14ac:dyDescent="0.25">
      <c r="A11" s="20" t="s">
        <v>18</v>
      </c>
      <c r="B11" s="19" t="s">
        <v>51</v>
      </c>
      <c r="C11" s="23" t="s">
        <v>46</v>
      </c>
      <c r="D11" s="18" t="s">
        <v>60</v>
      </c>
      <c r="E11" s="55" t="s">
        <v>59</v>
      </c>
      <c r="F11" s="39" t="s">
        <v>69</v>
      </c>
      <c r="G11" s="21">
        <v>1</v>
      </c>
      <c r="H11" s="22">
        <v>2.08</v>
      </c>
      <c r="I11" s="22">
        <v>2.5</v>
      </c>
      <c r="J11" s="22">
        <f t="shared" si="0"/>
        <v>2.5</v>
      </c>
      <c r="XEZ11" s="7"/>
      <c r="XFA11" s="6"/>
      <c r="XFB11" s="7"/>
    </row>
    <row r="12" spans="1:10 16380:16382" s="4" customFormat="1" ht="19.95" customHeight="1" x14ac:dyDescent="0.25">
      <c r="A12" s="20" t="s">
        <v>18</v>
      </c>
      <c r="B12" s="19" t="s">
        <v>55</v>
      </c>
      <c r="C12" s="40" t="s">
        <v>23</v>
      </c>
      <c r="D12" s="18" t="s">
        <v>47</v>
      </c>
      <c r="E12" s="58">
        <v>11356</v>
      </c>
      <c r="F12" s="39" t="s">
        <v>70</v>
      </c>
      <c r="G12" s="21">
        <v>1</v>
      </c>
      <c r="H12" s="22">
        <v>1.92</v>
      </c>
      <c r="I12" s="22">
        <v>2.2999999999999998</v>
      </c>
      <c r="J12" s="22">
        <f t="shared" si="0"/>
        <v>2.2999999999999998</v>
      </c>
      <c r="XEZ12" s="7"/>
      <c r="XFA12" s="6"/>
      <c r="XFB12" s="7"/>
    </row>
    <row r="13" spans="1:10 16380:16382" s="4" customFormat="1" ht="19.95" customHeight="1" x14ac:dyDescent="0.25">
      <c r="A13" s="20" t="s">
        <v>18</v>
      </c>
      <c r="B13" s="19" t="s">
        <v>53</v>
      </c>
      <c r="C13" s="17" t="s">
        <v>41</v>
      </c>
      <c r="D13" s="18" t="s">
        <v>42</v>
      </c>
      <c r="E13" s="58">
        <v>48918</v>
      </c>
      <c r="F13" s="39" t="s">
        <v>43</v>
      </c>
      <c r="G13" s="21">
        <v>1</v>
      </c>
      <c r="H13" s="22">
        <v>1.83</v>
      </c>
      <c r="I13" s="22">
        <v>2.2000000000000002</v>
      </c>
      <c r="J13" s="22">
        <f t="shared" si="0"/>
        <v>2.2000000000000002</v>
      </c>
      <c r="XEZ13" s="7"/>
      <c r="XFA13" s="6"/>
      <c r="XFB13" s="7"/>
    </row>
    <row r="14" spans="1:10 16380:16382" s="4" customFormat="1" ht="19.95" customHeight="1" x14ac:dyDescent="0.25">
      <c r="A14" s="20" t="s">
        <v>18</v>
      </c>
      <c r="B14" s="19" t="s">
        <v>75</v>
      </c>
      <c r="C14" s="17" t="s">
        <v>79</v>
      </c>
      <c r="D14" s="18" t="s">
        <v>76</v>
      </c>
      <c r="E14" s="58" t="s">
        <v>77</v>
      </c>
      <c r="F14" s="39" t="s">
        <v>78</v>
      </c>
      <c r="G14" s="21">
        <v>1</v>
      </c>
      <c r="H14" s="22">
        <v>0.79</v>
      </c>
      <c r="I14" s="22">
        <v>0.95</v>
      </c>
      <c r="J14" s="22">
        <f t="shared" si="0"/>
        <v>0.95</v>
      </c>
      <c r="XEZ14" s="7"/>
      <c r="XFA14" s="6"/>
      <c r="XFB14" s="7"/>
    </row>
    <row r="15" spans="1:10 16380:16382" s="4" customFormat="1" ht="19.95" customHeight="1" x14ac:dyDescent="0.25">
      <c r="A15" s="20" t="s">
        <v>18</v>
      </c>
      <c r="B15" s="19" t="s">
        <v>75</v>
      </c>
      <c r="C15" s="17" t="s">
        <v>80</v>
      </c>
      <c r="D15" s="18" t="s">
        <v>81</v>
      </c>
      <c r="E15" s="58" t="s">
        <v>82</v>
      </c>
      <c r="F15" s="39" t="s">
        <v>83</v>
      </c>
      <c r="G15" s="21">
        <v>1</v>
      </c>
      <c r="H15" s="22">
        <v>0.79</v>
      </c>
      <c r="I15" s="22">
        <v>0.95</v>
      </c>
      <c r="J15" s="22">
        <f t="shared" si="0"/>
        <v>0.95</v>
      </c>
      <c r="XEZ15" s="7"/>
      <c r="XFA15" s="6"/>
      <c r="XFB15" s="7"/>
    </row>
    <row r="16" spans="1:10 16380:16382" s="4" customFormat="1" ht="19.95" customHeight="1" x14ac:dyDescent="0.25">
      <c r="A16" s="20" t="s">
        <v>18</v>
      </c>
      <c r="B16" s="19" t="s">
        <v>75</v>
      </c>
      <c r="C16" s="17" t="s">
        <v>87</v>
      </c>
      <c r="D16" s="18" t="s">
        <v>84</v>
      </c>
      <c r="E16" s="58" t="s">
        <v>85</v>
      </c>
      <c r="F16" s="39" t="s">
        <v>86</v>
      </c>
      <c r="G16" s="21">
        <v>1</v>
      </c>
      <c r="H16" s="22">
        <v>3.92</v>
      </c>
      <c r="I16" s="22">
        <v>4.7</v>
      </c>
      <c r="J16" s="22">
        <f t="shared" si="0"/>
        <v>4.7</v>
      </c>
      <c r="XEZ16" s="7"/>
      <c r="XFA16" s="6"/>
      <c r="XFB16" s="7"/>
    </row>
    <row r="17" spans="1:10 16377:16382" s="4" customFormat="1" ht="19.95" customHeight="1" x14ac:dyDescent="0.25">
      <c r="A17" s="20" t="s">
        <v>18</v>
      </c>
      <c r="B17" s="19" t="s">
        <v>75</v>
      </c>
      <c r="C17" s="17" t="s">
        <v>90</v>
      </c>
      <c r="D17" s="18" t="s">
        <v>88</v>
      </c>
      <c r="E17" s="58" t="s">
        <v>91</v>
      </c>
      <c r="F17" s="39" t="s">
        <v>89</v>
      </c>
      <c r="G17" s="21">
        <v>1</v>
      </c>
      <c r="H17" s="22">
        <v>3.92</v>
      </c>
      <c r="I17" s="22">
        <v>4.7</v>
      </c>
      <c r="J17" s="22">
        <f t="shared" si="0"/>
        <v>4.7</v>
      </c>
      <c r="XEZ17" s="7"/>
      <c r="XFA17" s="6"/>
      <c r="XFB17" s="7"/>
    </row>
    <row r="18" spans="1:10 16377:16382" s="4" customFormat="1" ht="19.95" customHeight="1" x14ac:dyDescent="0.25">
      <c r="A18" s="20" t="s">
        <v>18</v>
      </c>
      <c r="B18" s="19" t="s">
        <v>75</v>
      </c>
      <c r="C18" s="17" t="s">
        <v>98</v>
      </c>
      <c r="D18" s="18" t="s">
        <v>92</v>
      </c>
      <c r="E18" s="58" t="s">
        <v>94</v>
      </c>
      <c r="F18" s="39" t="s">
        <v>93</v>
      </c>
      <c r="G18" s="21">
        <v>1</v>
      </c>
      <c r="H18" s="22">
        <v>0.96</v>
      </c>
      <c r="I18" s="22">
        <v>1.1499999999999999</v>
      </c>
      <c r="J18" s="22">
        <f t="shared" si="0"/>
        <v>1.1499999999999999</v>
      </c>
      <c r="XEZ18" s="7"/>
      <c r="XFA18" s="6"/>
      <c r="XFB18" s="7"/>
    </row>
    <row r="19" spans="1:10 16377:16382" s="4" customFormat="1" ht="19.95" customHeight="1" x14ac:dyDescent="0.25">
      <c r="A19" s="20" t="s">
        <v>18</v>
      </c>
      <c r="B19" s="19" t="s">
        <v>75</v>
      </c>
      <c r="C19" s="17" t="s">
        <v>99</v>
      </c>
      <c r="D19" s="18" t="s">
        <v>95</v>
      </c>
      <c r="E19" s="58" t="s">
        <v>97</v>
      </c>
      <c r="F19" s="39" t="s">
        <v>96</v>
      </c>
      <c r="G19" s="21">
        <v>1</v>
      </c>
      <c r="H19" s="22">
        <v>0.96</v>
      </c>
      <c r="I19" s="22">
        <v>1.1499999999999999</v>
      </c>
      <c r="J19" s="22">
        <f t="shared" si="0"/>
        <v>1.1499999999999999</v>
      </c>
      <c r="XEZ19" s="7"/>
      <c r="XFA19" s="6"/>
      <c r="XFB19" s="7"/>
    </row>
    <row r="20" spans="1:10 16377:16382" s="4" customFormat="1" ht="19.95" customHeight="1" x14ac:dyDescent="0.25">
      <c r="A20" s="20"/>
      <c r="B20" s="19"/>
      <c r="C20" s="17"/>
      <c r="D20" s="18"/>
      <c r="E20" s="55"/>
      <c r="F20" s="39"/>
      <c r="G20" s="21"/>
      <c r="H20" s="22"/>
      <c r="I20" s="22"/>
      <c r="J20" s="22"/>
      <c r="XEZ20" s="7"/>
      <c r="XFA20" s="6"/>
      <c r="XFB20" s="7"/>
    </row>
    <row r="21" spans="1:10 16377:16382" s="4" customFormat="1" ht="19.95" customHeight="1" x14ac:dyDescent="0.25">
      <c r="A21" s="47" t="s">
        <v>50</v>
      </c>
      <c r="B21" s="19"/>
      <c r="C21" s="23"/>
      <c r="D21" s="18"/>
      <c r="E21" s="19"/>
      <c r="F21" s="18"/>
      <c r="G21" s="21"/>
      <c r="H21" s="31"/>
      <c r="I21" s="22"/>
      <c r="J21" s="22">
        <f t="shared" si="0"/>
        <v>0</v>
      </c>
      <c r="XEW21" s="6"/>
      <c r="XEX21" s="6"/>
      <c r="XEY21" s="6"/>
      <c r="XEZ21" s="7"/>
      <c r="XFA21" s="6"/>
      <c r="XFB21" s="7"/>
    </row>
    <row r="22" spans="1:10 16377:16382" s="4" customFormat="1" ht="19.95" customHeight="1" x14ac:dyDescent="0.25">
      <c r="A22" s="20" t="s">
        <v>16</v>
      </c>
      <c r="B22" s="19" t="s">
        <v>57</v>
      </c>
      <c r="C22" s="23" t="s">
        <v>117</v>
      </c>
      <c r="D22" s="18" t="s">
        <v>15</v>
      </c>
      <c r="E22" s="19" t="s">
        <v>118</v>
      </c>
      <c r="F22" s="39" t="s">
        <v>17</v>
      </c>
      <c r="G22" s="21">
        <v>1</v>
      </c>
      <c r="H22" s="31"/>
      <c r="I22" s="22">
        <v>260</v>
      </c>
      <c r="J22" s="22">
        <f t="shared" si="0"/>
        <v>260</v>
      </c>
      <c r="XEZ22" s="7"/>
      <c r="XFA22" s="6"/>
      <c r="XFB22" s="7"/>
    </row>
    <row r="23" spans="1:10 16377:16382" s="4" customFormat="1" ht="19.95" customHeight="1" x14ac:dyDescent="0.25">
      <c r="A23" s="20"/>
      <c r="B23" s="19"/>
      <c r="C23" s="23"/>
      <c r="D23" s="18"/>
      <c r="E23" s="19"/>
      <c r="F23" s="18"/>
      <c r="G23" s="21"/>
      <c r="H23" s="31"/>
      <c r="I23" s="22"/>
      <c r="J23" s="22">
        <f t="shared" si="0"/>
        <v>0</v>
      </c>
      <c r="XEW23" s="6"/>
      <c r="XEX23" s="6"/>
      <c r="XEY23" s="6"/>
      <c r="XEZ23" s="7"/>
      <c r="XFA23" s="6"/>
      <c r="XFB23" s="7"/>
    </row>
    <row r="24" spans="1:10 16377:16382" s="4" customFormat="1" ht="19.95" customHeight="1" x14ac:dyDescent="0.25">
      <c r="A24" s="47" t="s">
        <v>122</v>
      </c>
      <c r="B24" s="19"/>
      <c r="C24" s="23"/>
      <c r="D24" s="18"/>
      <c r="E24" s="19"/>
      <c r="F24" s="18"/>
      <c r="G24" s="21"/>
      <c r="H24" s="31"/>
      <c r="I24" s="22"/>
      <c r="J24" s="22">
        <f t="shared" si="0"/>
        <v>0</v>
      </c>
      <c r="XEW24" s="6"/>
      <c r="XEX24" s="6"/>
      <c r="XEY24" s="6"/>
      <c r="XEZ24" s="7"/>
      <c r="XFA24" s="6"/>
      <c r="XFB24" s="7"/>
    </row>
    <row r="25" spans="1:10 16377:16382" s="4" customFormat="1" ht="19.95" customHeight="1" x14ac:dyDescent="0.25">
      <c r="A25" s="20" t="s">
        <v>122</v>
      </c>
      <c r="B25" s="19" t="s">
        <v>103</v>
      </c>
      <c r="C25" s="23" t="s">
        <v>66</v>
      </c>
      <c r="D25" s="18" t="s">
        <v>123</v>
      </c>
      <c r="E25" s="19" t="s">
        <v>124</v>
      </c>
      <c r="F25" s="39" t="s">
        <v>125</v>
      </c>
      <c r="G25" s="21">
        <v>1</v>
      </c>
      <c r="H25" s="31">
        <v>64.040000000000006</v>
      </c>
      <c r="I25" s="22">
        <v>76.849999999999994</v>
      </c>
      <c r="J25" s="22">
        <f t="shared" si="0"/>
        <v>76.849999999999994</v>
      </c>
      <c r="XEW25" s="6"/>
      <c r="XEX25" s="6"/>
      <c r="XEY25" s="6"/>
      <c r="XEZ25" s="7"/>
      <c r="XFA25" s="6"/>
      <c r="XFB25" s="7"/>
    </row>
    <row r="26" spans="1:10 16377:16382" s="4" customFormat="1" ht="19.95" customHeight="1" x14ac:dyDescent="0.25">
      <c r="A26" s="20"/>
      <c r="B26" s="19"/>
      <c r="C26" s="23"/>
      <c r="D26" s="18"/>
      <c r="E26" s="19"/>
      <c r="F26" s="18"/>
      <c r="G26" s="21"/>
      <c r="H26" s="31"/>
      <c r="I26" s="22"/>
      <c r="J26" s="22">
        <f t="shared" si="0"/>
        <v>0</v>
      </c>
      <c r="XEW26" s="6"/>
      <c r="XEX26" s="6"/>
      <c r="XEY26" s="6"/>
      <c r="XEZ26" s="7"/>
      <c r="XFA26" s="6"/>
      <c r="XFB26" s="7"/>
    </row>
    <row r="27" spans="1:10 16377:16382" s="15" customFormat="1" ht="19.95" customHeight="1" x14ac:dyDescent="0.3">
      <c r="A27" s="46" t="s">
        <v>49</v>
      </c>
      <c r="B27" s="44"/>
      <c r="C27" s="44"/>
      <c r="D27" s="44"/>
      <c r="E27" s="44"/>
      <c r="F27" s="44"/>
      <c r="G27" s="44"/>
      <c r="H27" s="45"/>
      <c r="I27" s="45"/>
      <c r="J27" s="22">
        <f t="shared" si="0"/>
        <v>0</v>
      </c>
      <c r="XEZ27" s="7"/>
      <c r="XFA27" s="16"/>
      <c r="XFB27" s="7"/>
    </row>
    <row r="28" spans="1:10 16377:16382" s="4" customFormat="1" ht="19.95" customHeight="1" x14ac:dyDescent="0.25">
      <c r="A28" s="20" t="s">
        <v>19</v>
      </c>
      <c r="B28" s="19" t="s">
        <v>56</v>
      </c>
      <c r="C28" s="40" t="s">
        <v>22</v>
      </c>
      <c r="D28" s="18" t="s">
        <v>71</v>
      </c>
      <c r="E28" s="19"/>
      <c r="F28" s="39" t="s">
        <v>72</v>
      </c>
      <c r="G28" s="21">
        <v>1</v>
      </c>
      <c r="H28" s="22"/>
      <c r="I28" s="22">
        <v>15.99</v>
      </c>
      <c r="J28" s="22">
        <f t="shared" si="0"/>
        <v>15.99</v>
      </c>
      <c r="XEZ28" s="7"/>
      <c r="XFA28" s="6"/>
      <c r="XFB28" s="7"/>
    </row>
    <row r="29" spans="1:10 16377:16382" s="4" customFormat="1" ht="19.95" customHeight="1" x14ac:dyDescent="0.25">
      <c r="A29" s="20" t="s">
        <v>19</v>
      </c>
      <c r="B29" s="19" t="s">
        <v>53</v>
      </c>
      <c r="C29" s="17" t="s">
        <v>32</v>
      </c>
      <c r="D29" s="18" t="s">
        <v>33</v>
      </c>
      <c r="E29" s="19"/>
      <c r="F29" s="39" t="s">
        <v>34</v>
      </c>
      <c r="G29" s="21">
        <v>1</v>
      </c>
      <c r="H29" s="22"/>
      <c r="I29" s="22">
        <v>17.38</v>
      </c>
      <c r="J29" s="22">
        <f t="shared" si="0"/>
        <v>17.38</v>
      </c>
      <c r="XEZ29" s="7"/>
      <c r="XFA29" s="6"/>
      <c r="XFB29" s="7"/>
    </row>
    <row r="30" spans="1:10 16377:16382" s="4" customFormat="1" ht="19.95" customHeight="1" x14ac:dyDescent="0.25">
      <c r="A30" s="20" t="s">
        <v>19</v>
      </c>
      <c r="B30" s="19" t="s">
        <v>55</v>
      </c>
      <c r="C30" s="17" t="s">
        <v>35</v>
      </c>
      <c r="D30" s="18" t="s">
        <v>36</v>
      </c>
      <c r="E30" s="19"/>
      <c r="F30" s="39" t="s">
        <v>37</v>
      </c>
      <c r="G30" s="21">
        <v>1</v>
      </c>
      <c r="H30" s="22"/>
      <c r="I30" s="22">
        <v>9.99</v>
      </c>
      <c r="J30" s="22">
        <f t="shared" si="0"/>
        <v>9.99</v>
      </c>
      <c r="XEZ30" s="7"/>
      <c r="XFA30" s="6"/>
      <c r="XFB30" s="7"/>
    </row>
    <row r="31" spans="1:10 16377:16382" s="4" customFormat="1" ht="19.95" customHeight="1" x14ac:dyDescent="0.25">
      <c r="A31" s="20" t="s">
        <v>19</v>
      </c>
      <c r="B31" s="19" t="s">
        <v>55</v>
      </c>
      <c r="C31" s="17" t="s">
        <v>38</v>
      </c>
      <c r="D31" s="18" t="s">
        <v>39</v>
      </c>
      <c r="E31" s="19"/>
      <c r="F31" s="39" t="s">
        <v>40</v>
      </c>
      <c r="G31" s="21">
        <v>1</v>
      </c>
      <c r="H31" s="22"/>
      <c r="I31" s="22">
        <v>14.99</v>
      </c>
      <c r="J31" s="22">
        <f t="shared" si="0"/>
        <v>14.99</v>
      </c>
      <c r="XEZ31" s="7"/>
      <c r="XFA31" s="6"/>
      <c r="XFB31" s="7"/>
    </row>
    <row r="32" spans="1:10 16377:16382" s="4" customFormat="1" ht="19.95" customHeight="1" x14ac:dyDescent="0.25">
      <c r="A32" s="20" t="s">
        <v>19</v>
      </c>
      <c r="B32" s="19" t="s">
        <v>55</v>
      </c>
      <c r="C32" s="23" t="s">
        <v>20</v>
      </c>
      <c r="D32" s="18" t="s">
        <v>61</v>
      </c>
      <c r="E32" s="19"/>
      <c r="F32" s="39" t="s">
        <v>21</v>
      </c>
      <c r="G32" s="21">
        <v>1</v>
      </c>
      <c r="H32" s="22"/>
      <c r="I32" s="22">
        <v>11.89</v>
      </c>
      <c r="J32" s="22">
        <f t="shared" si="0"/>
        <v>11.89</v>
      </c>
      <c r="XEZ32" s="7"/>
      <c r="XFA32" s="6"/>
      <c r="XFB32" s="7"/>
    </row>
    <row r="33" spans="1:10 16380:16382" s="4" customFormat="1" ht="19.95" customHeight="1" x14ac:dyDescent="0.25">
      <c r="A33" s="20" t="s">
        <v>19</v>
      </c>
      <c r="B33" s="19" t="s">
        <v>64</v>
      </c>
      <c r="C33" s="23" t="s">
        <v>63</v>
      </c>
      <c r="D33" s="18" t="s">
        <v>62</v>
      </c>
      <c r="E33" s="19"/>
      <c r="F33" s="39" t="s">
        <v>65</v>
      </c>
      <c r="G33" s="21">
        <v>1</v>
      </c>
      <c r="H33" s="22"/>
      <c r="I33" s="22">
        <v>58.99</v>
      </c>
      <c r="J33" s="22">
        <f t="shared" si="0"/>
        <v>58.99</v>
      </c>
      <c r="XEZ33" s="7"/>
      <c r="XFA33" s="6"/>
      <c r="XFB33" s="7"/>
    </row>
    <row r="34" spans="1:10 16380:16382" s="4" customFormat="1" ht="19.95" customHeight="1" x14ac:dyDescent="0.25">
      <c r="A34" s="20" t="s">
        <v>19</v>
      </c>
      <c r="B34" s="19" t="s">
        <v>14</v>
      </c>
      <c r="C34" s="23" t="s">
        <v>119</v>
      </c>
      <c r="D34" s="18" t="s">
        <v>74</v>
      </c>
      <c r="E34" s="19"/>
      <c r="F34" s="39" t="s">
        <v>73</v>
      </c>
      <c r="G34" s="21">
        <v>1</v>
      </c>
      <c r="H34" s="22"/>
      <c r="I34" s="22">
        <v>6.99</v>
      </c>
      <c r="J34" s="22">
        <f t="shared" si="0"/>
        <v>6.99</v>
      </c>
      <c r="XEZ34" s="7"/>
      <c r="XFA34" s="6"/>
      <c r="XFB34" s="7"/>
    </row>
    <row r="35" spans="1:10 16380:16382" s="4" customFormat="1" ht="19.95" customHeight="1" x14ac:dyDescent="0.25">
      <c r="A35" s="20" t="s">
        <v>19</v>
      </c>
      <c r="B35" s="19" t="s">
        <v>104</v>
      </c>
      <c r="C35" s="23" t="s">
        <v>105</v>
      </c>
      <c r="D35" s="18" t="s">
        <v>107</v>
      </c>
      <c r="E35" s="19"/>
      <c r="F35" s="39" t="s">
        <v>106</v>
      </c>
      <c r="G35" s="21">
        <v>1</v>
      </c>
      <c r="H35" s="22"/>
      <c r="I35" s="22">
        <v>8.99</v>
      </c>
      <c r="J35" s="22">
        <f t="shared" si="0"/>
        <v>8.99</v>
      </c>
      <c r="XEZ35" s="7"/>
      <c r="XFA35" s="6"/>
      <c r="XFB35" s="7"/>
    </row>
    <row r="36" spans="1:10 16380:16382" s="4" customFormat="1" ht="19.95" customHeight="1" x14ac:dyDescent="0.25">
      <c r="A36" s="20"/>
      <c r="B36" s="19"/>
      <c r="C36" s="23"/>
      <c r="D36" s="18"/>
      <c r="E36" s="19"/>
      <c r="F36" s="39"/>
      <c r="G36" s="21"/>
      <c r="H36" s="22"/>
      <c r="I36" s="22"/>
      <c r="J36" s="22">
        <f>G36*I36</f>
        <v>0</v>
      </c>
      <c r="XEZ36" s="7"/>
      <c r="XFA36" s="6"/>
      <c r="XFB36" s="7"/>
    </row>
    <row r="37" spans="1:10 16380:16382" s="4" customFormat="1" ht="19.95" customHeight="1" x14ac:dyDescent="0.25">
      <c r="A37" s="47" t="s">
        <v>54</v>
      </c>
      <c r="B37" s="19"/>
      <c r="C37" s="40"/>
      <c r="D37" s="41"/>
      <c r="E37" s="19"/>
      <c r="F37" s="18"/>
      <c r="G37" s="21"/>
      <c r="H37" s="22"/>
      <c r="I37" s="42"/>
      <c r="J37" s="22">
        <f t="shared" si="0"/>
        <v>0</v>
      </c>
      <c r="XEZ37" s="7"/>
      <c r="XFA37" s="6"/>
      <c r="XFB37" s="7"/>
    </row>
    <row r="38" spans="1:10 16380:16382" s="7" customFormat="1" ht="19.95" customHeight="1" x14ac:dyDescent="0.25">
      <c r="A38" s="35" t="s">
        <v>26</v>
      </c>
      <c r="B38" s="54" t="s">
        <v>53</v>
      </c>
      <c r="C38" s="26" t="s">
        <v>24</v>
      </c>
      <c r="D38" s="33" t="s">
        <v>25</v>
      </c>
      <c r="E38" s="34"/>
      <c r="F38" s="27" t="s">
        <v>27</v>
      </c>
      <c r="G38" s="35">
        <v>9</v>
      </c>
      <c r="H38" s="29">
        <v>7.08</v>
      </c>
      <c r="I38" s="48">
        <f>H38*1.2</f>
        <v>8.4960000000000004</v>
      </c>
      <c r="J38" s="22">
        <f t="shared" si="0"/>
        <v>76.463999999999999</v>
      </c>
      <c r="XFA38" s="6"/>
    </row>
    <row r="39" spans="1:10 16380:16382" s="7" customFormat="1" ht="19.95" customHeight="1" x14ac:dyDescent="0.25">
      <c r="A39" s="35"/>
      <c r="B39" s="34"/>
      <c r="C39" s="26"/>
      <c r="D39" s="33"/>
      <c r="E39" s="34"/>
      <c r="F39" s="27"/>
      <c r="G39" s="35"/>
      <c r="H39" s="29"/>
      <c r="I39" s="48"/>
      <c r="J39" s="22">
        <f t="shared" si="0"/>
        <v>0</v>
      </c>
      <c r="XFA39" s="6"/>
    </row>
    <row r="40" spans="1:10 16380:16382" s="4" customFormat="1" ht="19.95" customHeight="1" x14ac:dyDescent="0.25">
      <c r="A40" s="47" t="s">
        <v>30</v>
      </c>
      <c r="B40" s="32"/>
      <c r="C40" s="17"/>
      <c r="D40" s="18"/>
      <c r="E40" s="32"/>
      <c r="F40" s="18"/>
      <c r="G40" s="21"/>
      <c r="H40" s="22"/>
      <c r="I40" s="49"/>
      <c r="J40" s="22">
        <f t="shared" si="0"/>
        <v>0</v>
      </c>
      <c r="XEZ40" s="7"/>
      <c r="XFA40" s="6"/>
      <c r="XFB40" s="7"/>
    </row>
    <row r="41" spans="1:10 16380:16382" s="4" customFormat="1" ht="19.95" customHeight="1" x14ac:dyDescent="0.25">
      <c r="A41" s="20" t="s">
        <v>30</v>
      </c>
      <c r="B41" s="32" t="s">
        <v>53</v>
      </c>
      <c r="C41" s="17" t="s">
        <v>28</v>
      </c>
      <c r="D41" s="18" t="s">
        <v>29</v>
      </c>
      <c r="E41" s="32"/>
      <c r="F41" s="18" t="s">
        <v>31</v>
      </c>
      <c r="G41" s="21">
        <v>1</v>
      </c>
      <c r="H41" s="22"/>
      <c r="I41" s="49">
        <v>2.0499999999999998</v>
      </c>
      <c r="J41" s="22">
        <f t="shared" si="0"/>
        <v>2.0499999999999998</v>
      </c>
      <c r="XEZ41" s="7"/>
      <c r="XFA41" s="6"/>
      <c r="XFB41" s="7"/>
    </row>
    <row r="42" spans="1:10 16380:16382" s="7" customFormat="1" ht="19.95" customHeight="1" x14ac:dyDescent="0.25">
      <c r="A42" s="34"/>
      <c r="B42" s="34"/>
      <c r="C42" s="36"/>
      <c r="D42" s="37"/>
      <c r="E42" s="34"/>
      <c r="F42" s="37"/>
      <c r="G42" s="34"/>
      <c r="H42" s="34"/>
      <c r="I42" s="42"/>
      <c r="J42" s="22">
        <f t="shared" si="0"/>
        <v>0</v>
      </c>
    </row>
    <row r="43" spans="1:10 16380:16382" s="4" customFormat="1" ht="19.95" customHeight="1" x14ac:dyDescent="0.25">
      <c r="B43" s="2"/>
      <c r="D43" s="2"/>
      <c r="E43" s="2"/>
      <c r="F43" s="2"/>
      <c r="H43" s="5"/>
      <c r="I43" s="38"/>
      <c r="J43" s="5"/>
      <c r="XEZ43" s="7"/>
      <c r="XFA43" s="6"/>
      <c r="XFB43" s="7"/>
    </row>
    <row r="44" spans="1:10 16380:16382" s="4" customFormat="1" x14ac:dyDescent="0.25">
      <c r="B44" s="2"/>
      <c r="D44" s="2"/>
      <c r="E44" s="2"/>
      <c r="F44" s="2"/>
      <c r="H44" s="5"/>
      <c r="I44" s="5"/>
      <c r="J44" s="5"/>
      <c r="XEZ44" s="7"/>
      <c r="XFA44" s="6"/>
      <c r="XFB44" s="7"/>
    </row>
    <row r="45" spans="1:10 16380:16382" s="4" customFormat="1" x14ac:dyDescent="0.25">
      <c r="B45" s="2"/>
      <c r="D45" s="2"/>
      <c r="E45" s="2"/>
      <c r="F45" s="2"/>
      <c r="H45" s="5"/>
      <c r="I45" s="5"/>
      <c r="J45" s="5"/>
      <c r="XEZ45" s="7"/>
      <c r="XFA45" s="6"/>
      <c r="XFB45" s="7"/>
    </row>
    <row r="46" spans="1:10 16380:16382" s="4" customFormat="1" x14ac:dyDescent="0.25">
      <c r="B46" s="2"/>
      <c r="D46" s="2"/>
      <c r="E46" s="2"/>
      <c r="F46" s="2"/>
      <c r="H46" s="5"/>
      <c r="I46" s="5"/>
      <c r="J46" s="5"/>
      <c r="XEZ46" s="7"/>
      <c r="XFA46" s="6"/>
      <c r="XFB46" s="7"/>
    </row>
    <row r="47" spans="1:10 16380:16382" s="4" customFormat="1" x14ac:dyDescent="0.25">
      <c r="B47" s="2"/>
      <c r="D47" s="2"/>
      <c r="E47" s="2"/>
      <c r="F47" s="2"/>
      <c r="H47" s="5"/>
      <c r="I47" s="5"/>
      <c r="J47" s="5"/>
      <c r="XEZ47" s="7"/>
      <c r="XFA47" s="6"/>
      <c r="XFB47" s="7"/>
    </row>
    <row r="48" spans="1:10 16380:16382" s="4" customFormat="1" x14ac:dyDescent="0.25">
      <c r="B48" s="2"/>
      <c r="D48" s="2"/>
      <c r="E48" s="2"/>
      <c r="F48" s="2"/>
      <c r="H48" s="5"/>
      <c r="I48" s="5"/>
      <c r="J48" s="5"/>
      <c r="XEZ48" s="7"/>
      <c r="XFA48" s="6"/>
      <c r="XFB48" s="7"/>
    </row>
    <row r="49" spans="2:10 16377:16382" s="4" customFormat="1" x14ac:dyDescent="0.25">
      <c r="B49" s="2"/>
      <c r="D49" s="2"/>
      <c r="E49" s="2"/>
      <c r="F49" s="2"/>
      <c r="H49" s="5"/>
      <c r="I49" s="5"/>
      <c r="J49" s="5"/>
      <c r="XEZ49" s="7"/>
      <c r="XFA49" s="6"/>
      <c r="XFB49" s="7"/>
    </row>
    <row r="50" spans="2:10 16377:16382" x14ac:dyDescent="0.25">
      <c r="XEW50" s="4"/>
      <c r="XEX50" s="4"/>
      <c r="XEY50" s="4"/>
    </row>
    <row r="51" spans="2:10 16377:16382" x14ac:dyDescent="0.25">
      <c r="XEW51" s="4"/>
      <c r="XEX51" s="4"/>
      <c r="XEY51" s="4"/>
    </row>
    <row r="52" spans="2:10 16377:16382" x14ac:dyDescent="0.25">
      <c r="XEW52" s="4"/>
      <c r="XEX52" s="4"/>
      <c r="XEY52" s="4"/>
    </row>
    <row r="53" spans="2:10 16377:16382" x14ac:dyDescent="0.25">
      <c r="XEW53" s="4"/>
      <c r="XEX53" s="4"/>
      <c r="XEY53" s="4"/>
    </row>
    <row r="54" spans="2:10 16377:16382" x14ac:dyDescent="0.25">
      <c r="XEW54" s="4"/>
      <c r="XEX54" s="4"/>
      <c r="XEY54" s="4"/>
    </row>
    <row r="55" spans="2:10 16377:16382" x14ac:dyDescent="0.25">
      <c r="XEW55" s="4"/>
      <c r="XEX55" s="4"/>
      <c r="XEY55" s="4"/>
    </row>
    <row r="56" spans="2:10 16377:16382" x14ac:dyDescent="0.25">
      <c r="XEW56" s="4"/>
      <c r="XEX56" s="4"/>
      <c r="XEY56" s="4"/>
    </row>
    <row r="57" spans="2:10 16377:16382" x14ac:dyDescent="0.25">
      <c r="XEW57" s="4"/>
      <c r="XEX57" s="4"/>
      <c r="XEY57" s="4"/>
    </row>
    <row r="58" spans="2:10 16377:16382" x14ac:dyDescent="0.25">
      <c r="XEW58" s="4"/>
      <c r="XEX58" s="4"/>
      <c r="XEY58" s="4"/>
    </row>
    <row r="59" spans="2:10 16377:16382" x14ac:dyDescent="0.25">
      <c r="XEW59" s="4"/>
      <c r="XEX59" s="4"/>
      <c r="XEY59" s="4"/>
    </row>
    <row r="60" spans="2:10 16377:16382" x14ac:dyDescent="0.25">
      <c r="XEW60" s="4"/>
      <c r="XEX60" s="4"/>
      <c r="XEY60" s="4"/>
    </row>
    <row r="61" spans="2:10 16377:16382" x14ac:dyDescent="0.25">
      <c r="XEW61" s="4"/>
      <c r="XEX61" s="4"/>
      <c r="XEY61" s="4"/>
    </row>
    <row r="62" spans="2:10 16377:16382" x14ac:dyDescent="0.25">
      <c r="XEW62" s="4"/>
      <c r="XEX62" s="4"/>
      <c r="XEY62" s="4"/>
    </row>
    <row r="63" spans="2:10 16377:16382" x14ac:dyDescent="0.25">
      <c r="XEW63" s="4"/>
      <c r="XEX63" s="4"/>
      <c r="XEY63" s="4"/>
    </row>
    <row r="64" spans="2:10 16377:16382" x14ac:dyDescent="0.25">
      <c r="XEW64" s="4"/>
      <c r="XEX64" s="4"/>
      <c r="XEY64" s="4"/>
    </row>
    <row r="65" spans="16377:16379" x14ac:dyDescent="0.25">
      <c r="XEW65" s="4"/>
      <c r="XEX65" s="4"/>
      <c r="XEY65" s="4"/>
    </row>
    <row r="66" spans="16377:16379" x14ac:dyDescent="0.25">
      <c r="XEW66" s="4"/>
      <c r="XEX66" s="4"/>
      <c r="XEY66" s="4"/>
    </row>
    <row r="67" spans="16377:16379" x14ac:dyDescent="0.25">
      <c r="XEW67" s="4"/>
      <c r="XEX67" s="4"/>
      <c r="XEY67" s="4"/>
    </row>
    <row r="68" spans="16377:16379" x14ac:dyDescent="0.25">
      <c r="XEW68" s="4"/>
      <c r="XEX68" s="4"/>
      <c r="XEY68" s="4"/>
    </row>
    <row r="69" spans="16377:16379" x14ac:dyDescent="0.25">
      <c r="XEW69" s="4"/>
      <c r="XEX69" s="4"/>
      <c r="XEY69" s="4"/>
    </row>
    <row r="70" spans="16377:16379" x14ac:dyDescent="0.25">
      <c r="XEW70" s="4"/>
      <c r="XEX70" s="4"/>
      <c r="XEY70" s="4"/>
    </row>
    <row r="71" spans="16377:16379" x14ac:dyDescent="0.25">
      <c r="XEW71" s="4"/>
      <c r="XEX71" s="4"/>
      <c r="XEY71" s="4"/>
    </row>
    <row r="72" spans="16377:16379" x14ac:dyDescent="0.25">
      <c r="XEW72" s="4"/>
      <c r="XEX72" s="4"/>
      <c r="XEY72" s="4"/>
    </row>
    <row r="73" spans="16377:16379" x14ac:dyDescent="0.25">
      <c r="XEW73" s="4"/>
      <c r="XEX73" s="4"/>
      <c r="XEY73" s="4"/>
    </row>
    <row r="74" spans="16377:16379" x14ac:dyDescent="0.25">
      <c r="XEW74" s="4"/>
      <c r="XEX74" s="4"/>
      <c r="XEY74" s="4"/>
    </row>
    <row r="75" spans="16377:16379" x14ac:dyDescent="0.25">
      <c r="XEW75" s="4"/>
      <c r="XEX75" s="4"/>
      <c r="XEY75" s="4"/>
    </row>
    <row r="76" spans="16377:16379" x14ac:dyDescent="0.25">
      <c r="XEW76" s="4"/>
      <c r="XEX76" s="4"/>
      <c r="XEY76" s="4"/>
    </row>
    <row r="77" spans="16377:16379" x14ac:dyDescent="0.25">
      <c r="XEW77" s="4"/>
      <c r="XEX77" s="4"/>
      <c r="XEY77" s="4"/>
    </row>
    <row r="78" spans="16377:16379" x14ac:dyDescent="0.25">
      <c r="XEW78" s="4"/>
      <c r="XEX78" s="4"/>
      <c r="XEY78" s="4"/>
    </row>
    <row r="79" spans="16377:16379" x14ac:dyDescent="0.25">
      <c r="XEW79" s="4"/>
      <c r="XEX79" s="4"/>
      <c r="XEY79" s="4"/>
    </row>
    <row r="80" spans="16377:16379" x14ac:dyDescent="0.25">
      <c r="XEW80" s="4"/>
      <c r="XEX80" s="4"/>
      <c r="XEY80" s="4"/>
    </row>
    <row r="81" spans="16377:16379" x14ac:dyDescent="0.25">
      <c r="XEW81" s="4"/>
      <c r="XEX81" s="4"/>
      <c r="XEY81" s="4"/>
    </row>
    <row r="82" spans="16377:16379" x14ac:dyDescent="0.25">
      <c r="XEW82" s="4"/>
      <c r="XEX82" s="4"/>
      <c r="XEY82" s="4"/>
    </row>
    <row r="83" spans="16377:16379" x14ac:dyDescent="0.25">
      <c r="XEW83" s="4"/>
      <c r="XEX83" s="4"/>
      <c r="XEY83" s="4"/>
    </row>
    <row r="84" spans="16377:16379" x14ac:dyDescent="0.25">
      <c r="XEW84" s="4"/>
      <c r="XEX84" s="4"/>
      <c r="XEY84" s="4"/>
    </row>
    <row r="85" spans="16377:16379" x14ac:dyDescent="0.25">
      <c r="XEW85" s="4"/>
      <c r="XEX85" s="4"/>
      <c r="XEY85" s="4"/>
    </row>
    <row r="86" spans="16377:16379" x14ac:dyDescent="0.25">
      <c r="XEW86" s="4"/>
      <c r="XEX86" s="4"/>
      <c r="XEY86" s="4"/>
    </row>
    <row r="87" spans="16377:16379" x14ac:dyDescent="0.25">
      <c r="XEW87" s="4"/>
      <c r="XEX87" s="4"/>
      <c r="XEY87" s="4"/>
    </row>
    <row r="88" spans="16377:16379" x14ac:dyDescent="0.25">
      <c r="XEW88" s="4"/>
      <c r="XEX88" s="4"/>
      <c r="XEY88" s="4"/>
    </row>
    <row r="89" spans="16377:16379" x14ac:dyDescent="0.25">
      <c r="XEW89" s="4"/>
      <c r="XEX89" s="4"/>
      <c r="XEY89" s="4"/>
    </row>
    <row r="90" spans="16377:16379" x14ac:dyDescent="0.25">
      <c r="XEW90" s="4"/>
      <c r="XEX90" s="4"/>
      <c r="XEY90" s="4"/>
    </row>
    <row r="91" spans="16377:16379" x14ac:dyDescent="0.25">
      <c r="XEW91" s="4"/>
      <c r="XEX91" s="4"/>
      <c r="XEY91" s="4"/>
    </row>
    <row r="92" spans="16377:16379" x14ac:dyDescent="0.25">
      <c r="XEW92" s="4"/>
      <c r="XEX92" s="4"/>
      <c r="XEY92" s="4"/>
    </row>
    <row r="93" spans="16377:16379" x14ac:dyDescent="0.25">
      <c r="XEW93" s="4"/>
      <c r="XEX93" s="4"/>
      <c r="XEY93" s="4"/>
    </row>
    <row r="94" spans="16377:16379" x14ac:dyDescent="0.25">
      <c r="XEW94" s="4"/>
      <c r="XEX94" s="4"/>
      <c r="XEY94" s="4"/>
    </row>
    <row r="95" spans="16377:16379" x14ac:dyDescent="0.25">
      <c r="XEW95" s="4"/>
      <c r="XEX95" s="4"/>
      <c r="XEY95" s="4"/>
    </row>
    <row r="96" spans="16377:16379" x14ac:dyDescent="0.25">
      <c r="XEW96" s="4"/>
      <c r="XEX96" s="4"/>
      <c r="XEY96" s="4"/>
    </row>
  </sheetData>
  <mergeCells count="1">
    <mergeCell ref="C1:D1"/>
  </mergeCells>
  <hyperlinks>
    <hyperlink ref="F38" r:id="rId1" xr:uid="{00000000-0004-0000-0000-00002D000000}"/>
    <hyperlink ref="F28" r:id="rId2" xr:uid="{00000000-0004-0000-0000-000015000000}"/>
    <hyperlink ref="F22" r:id="rId3" xr:uid="{BFB26870-5BB8-42FF-8741-2856056A352B}"/>
    <hyperlink ref="F13" r:id="rId4" xr:uid="{DF8E217F-59F6-4C9A-8701-2A1B8851FC16}"/>
    <hyperlink ref="F41" r:id="rId5" xr:uid="{057C4E32-6411-48A0-A955-811607A8685C}"/>
    <hyperlink ref="F29" r:id="rId6" xr:uid="{F3AA9344-D6BB-4645-9AE8-33352B26572B}"/>
    <hyperlink ref="F30" r:id="rId7" xr:uid="{05389B03-51DA-4596-B97A-B05B848B1568}"/>
    <hyperlink ref="F31" r:id="rId8" xr:uid="{673933F5-AE4C-4D19-9FF2-2F59AFC3F5D5}"/>
    <hyperlink ref="F32" r:id="rId9" xr:uid="{44404973-6C89-4028-938B-E5D90DCBE423}"/>
    <hyperlink ref="F33" r:id="rId10" xr:uid="{116D8E0B-3140-4844-85AB-D40FCE69618E}"/>
    <hyperlink ref="F34" r:id="rId11" xr:uid="{DB12AF66-C776-49E9-89BA-BF9EF34FDC02}"/>
    <hyperlink ref="F5" r:id="rId12" xr:uid="{06046FFE-A198-4842-A3A9-F2336B8D2333}"/>
    <hyperlink ref="F6" r:id="rId13" xr:uid="{9CB6AAC2-5586-4E44-94B1-FA3F89ADDB3D}"/>
    <hyperlink ref="F7" r:id="rId14" xr:uid="{5A14520F-F507-480E-ADD0-FAC9DE84725D}"/>
    <hyperlink ref="F8" r:id="rId15" xr:uid="{7B85981C-F9AB-454A-B211-1AAC3F35C0B7}"/>
    <hyperlink ref="F11" r:id="rId16" xr:uid="{D91272D4-4E75-44C5-89EB-8ECB9EBC8B1D}"/>
    <hyperlink ref="F14" r:id="rId17" xr:uid="{CC541A1A-C9A4-4570-8E4D-DD6E429ACE15}"/>
    <hyperlink ref="F15" r:id="rId18" xr:uid="{7628B59D-8DB8-41FD-904D-8ED75673F6EF}"/>
    <hyperlink ref="F16" r:id="rId19" xr:uid="{0B9BEE83-5B73-4D6D-B6A1-885D5D495E64}"/>
    <hyperlink ref="F17" r:id="rId20" xr:uid="{68FCA54B-4433-4DC8-8BE0-08B3D901E5B4}"/>
    <hyperlink ref="F19" r:id="rId21" xr:uid="{51A1F655-D4DB-4FBD-B02E-DD25A8F08C96}"/>
    <hyperlink ref="F35" r:id="rId22" xr:uid="{A0E09CA1-1E52-48B6-8070-5DFA96766280}"/>
    <hyperlink ref="F10" r:id="rId23" xr:uid="{E7F9CC3A-1C68-4385-A8EE-68D678C64344}"/>
    <hyperlink ref="F9" r:id="rId24" xr:uid="{B47A695C-7DD6-48A0-A49A-D555C141796D}"/>
    <hyperlink ref="F12" r:id="rId25" xr:uid="{1CD51444-1335-4FB2-93F3-C14F69CA9FAD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</cp:lastModifiedBy>
  <cp:revision>154</cp:revision>
  <cp:lastPrinted>2025-09-24T14:23:58Z</cp:lastPrinted>
  <dcterms:created xsi:type="dcterms:W3CDTF">2022-09-30T10:25:47Z</dcterms:created>
  <dcterms:modified xsi:type="dcterms:W3CDTF">2026-09-28T14:50:54Z</dcterms:modified>
  <dc:language>fr-FR</dc:language>
</cp:coreProperties>
</file>