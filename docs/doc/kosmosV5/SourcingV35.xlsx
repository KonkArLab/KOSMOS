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_Materi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<sst xmlns="http://schemas.openxmlformats.org/spreadsheetml/2006/main" count="529" uniqueCount="348">
  <si>
    <t xml:space="preserve">Dernière mise à jour :</t>
  </si>
  <si>
    <t xml:space="preserve">O Fauvarque</t>
  </si>
  <si>
    <t xml:space="preserve">Fournisseur</t>
  </si>
  <si>
    <t xml:space="preserve">Caisson concerné</t>
  </si>
  <si>
    <t xml:space="preserve">Description KOSMOS</t>
  </si>
  <si>
    <t xml:space="preserve">Désignation fournisseur</t>
  </si>
  <si>
    <t xml:space="preserve">Référence fournisseur</t>
  </si>
  <si>
    <t xml:space="preserve">Lien fournisseur</t>
  </si>
  <si>
    <t xml:space="preserve">Quantité</t>
  </si>
  <si>
    <t xml:space="preserve">Prix unitaire (HT)</t>
  </si>
  <si>
    <t xml:space="preserve">Prix unitaire (TTC)</t>
  </si>
  <si>
    <t xml:space="preserve">Prix total (TTC)</t>
  </si>
  <si>
    <t xml:space="preserve">GOTRONIC</t>
  </si>
  <si>
    <t xml:space="preserve">Gotronic</t>
  </si>
  <si>
    <t xml:space="preserve">Video</t>
  </si>
  <si>
    <t xml:space="preserve">Raspberry Pi</t>
  </si>
  <si>
    <t xml:space="preserve">Raspberry Pi 5 - 2GB</t>
  </si>
  <si>
    <t xml:space="preserve">38912</t>
  </si>
  <si>
    <t xml:space="preserve">https://www.gotronic.fr/art-carte-raspberry-pi-5-2-gb-39733.htm</t>
  </si>
  <si>
    <t xml:space="preserve">Batterie RTC</t>
  </si>
  <si>
    <t xml:space="preserve">Batterie RTC pour Raspberry Pi 5</t>
  </si>
  <si>
    <t xml:space="preserve">https://www.gotronic.fr/art-batterie-rtc-pour-raspberry-pi-5-38451.htm</t>
  </si>
  <si>
    <t xml:space="preserve">Dissipateurs thermiques</t>
  </si>
  <si>
    <t xml:space="preserve">Set de 4 heat sinks aluminium</t>
  </si>
  <si>
    <t xml:space="preserve">https://www.gotronic.fr/art-radiateurs-economiques-pour-raspberry-pi-4b-32410.htm</t>
  </si>
  <si>
    <t xml:space="preserve">Caméra</t>
  </si>
  <si>
    <t xml:space="preserve">Caméra HQ 12 Mpx C/CS SC0261</t>
  </si>
  <si>
    <t xml:space="preserve">37327</t>
  </si>
  <si>
    <t xml:space="preserve">https://www.gotronic.fr/art-camera-hq-12-mpx-c-cs-sc0261-33781.htm</t>
  </si>
  <si>
    <t xml:space="preserve">Nappe caméra 15 cm</t>
  </si>
  <si>
    <t xml:space="preserve">Nappe caméra pour Pi Zero RB0-CAM-15</t>
  </si>
  <si>
    <t xml:space="preserve">37353</t>
  </si>
  <si>
    <t xml:space="preserve">https://www.gotronic.fr/art-nappe-camera-pour-pi-zero-rb0-cam-15-33987.htm</t>
  </si>
  <si>
    <t xml:space="preserve">Video (shield)</t>
  </si>
  <si>
    <t xml:space="preserve">Module GPS</t>
  </si>
  <si>
    <t xml:space="preserve">Récepteur GPS miniature TEL0132</t>
  </si>
  <si>
    <t xml:space="preserve">https://www.gotronic.fr/art-recepteur-gps-miniature-tel0132-32438.htm</t>
  </si>
  <si>
    <t xml:space="preserve">Capteur de luminosité</t>
  </si>
  <si>
    <t xml:space="preserve">Capteur de couleurs RGB ISL29125 SEN-12829</t>
  </si>
  <si>
    <t xml:space="preserve">37796</t>
  </si>
  <si>
    <t xml:space="preserve">https://www.gotronic.fr/art-capteur-de-couleurs-rgb-isl29125-sen-12829-35375.htm</t>
  </si>
  <si>
    <t xml:space="preserve">Magnétomètre</t>
  </si>
  <si>
    <t xml:space="preserve">Magnétomètre 3 axes BMM150 SEN0419</t>
  </si>
  <si>
    <t xml:space="preserve">37683</t>
  </si>
  <si>
    <t xml:space="preserve">https://www.gotronic.fr/art-magnetometre-3-axes-bmm150-sen0419-35122.htm</t>
  </si>
  <si>
    <t xml:space="preserve">Entretoises</t>
  </si>
  <si>
    <t xml:space="preserve">Jeu de 4 entretoises M/F 11mm BMF11</t>
  </si>
  <si>
    <t xml:space="preserve">11572</t>
  </si>
  <si>
    <t xml:space="preserve">https://www.gotronic.fr/art-jeu-de-4-entretoises-m-f-11mm-bmf11-27730.htm</t>
  </si>
  <si>
    <t xml:space="preserve">Video (shield) et moteur (PCB)</t>
  </si>
  <si>
    <t xml:space="preserve">Bornier</t>
  </si>
  <si>
    <t xml:space="preserve">Bornier ARK02Z 2 contacts - 5,0 mm</t>
  </si>
  <si>
    <t xml:space="preserve">https://www.gotronic.fr/art-bornier-ark02z-39582.htm</t>
  </si>
  <si>
    <t xml:space="preserve">Rehausse 2x20 broches Rpi</t>
  </si>
  <si>
    <t xml:space="preserve">Connecteur 2x20 broches HE40RPI
pour Raspberry Pi</t>
  </si>
  <si>
    <t xml:space="preserve">33245</t>
  </si>
  <si>
    <t xml:space="preserve">https://www.gotronic.fr/art-connecteur-2x20-broches-he40rpi-28118.htm</t>
  </si>
  <si>
    <t xml:space="preserve">Vidéo (shield)</t>
  </si>
  <si>
    <t xml:space="preserve">LED Rouge</t>
  </si>
  <si>
    <t xml:space="preserve">Led 5 mm L53ID5 rouge - 5 Vcc</t>
  </si>
  <si>
    <t xml:space="preserve">03790</t>
  </si>
  <si>
    <t xml:space="preserve">https://www.gotronic.fr/art-led-5-mm-l53id5-21464.htm</t>
  </si>
  <si>
    <t xml:space="preserve">LED Verte</t>
  </si>
  <si>
    <t xml:space="preserve">Led 5 mm L53GD5 Led 5 mm L53GD5 verte - 5 Vcc</t>
  </si>
  <si>
    <t xml:space="preserve">03792</t>
  </si>
  <si>
    <t xml:space="preserve">https://www.gotronic.fr/art-led-5-mm-l53gd5-21466.htm</t>
  </si>
  <si>
    <t xml:space="preserve">Résistances LED</t>
  </si>
  <si>
    <t xml:space="preserve">10 résistances 1/4W 10 résistances 1/4W 220Ω</t>
  </si>
  <si>
    <t xml:space="preserve">04028</t>
  </si>
  <si>
    <t xml:space="preserve">https://www.gotronic.fr/art-10-resistances-1-4w-220-8486-2568.htm</t>
  </si>
  <si>
    <t xml:space="preserve">Résistances ILS 10 kohm</t>
  </si>
  <si>
    <t xml:space="preserve">5 résistances 1/2W 10 kΩ</t>
  </si>
  <si>
    <t xml:space="preserve">04148</t>
  </si>
  <si>
    <t xml:space="preserve">https://www.gotronic.fr/art-5-resistances-1-2w-10-k-8486-270.htm</t>
  </si>
  <si>
    <t xml:space="preserve">Video &amp; Moteur</t>
  </si>
  <si>
    <t xml:space="preserve">Carte PCB</t>
  </si>
  <si>
    <t xml:space="preserve">Epoxy brut 1 face 100 x 160 mm</t>
  </si>
  <si>
    <t xml:space="preserve">12011</t>
  </si>
  <si>
    <t xml:space="preserve">https://www.gotronic.fr/art-epoxy-brut-1-face-233.htm</t>
  </si>
  <si>
    <t xml:space="preserve">Moteur (PCB)</t>
  </si>
  <si>
    <t xml:space="preserve">Support Arduino</t>
  </si>
  <si>
    <t xml:space="preserve">Connecteur FH1X16 femelle 1 x 16 pts court</t>
  </si>
  <si>
    <t xml:space="preserve">49012</t>
  </si>
  <si>
    <t xml:space="preserve">https://www.gotronic.fr/art-connecteur-fh1x16-24495.htm</t>
  </si>
  <si>
    <t xml:space="preserve">Support driver moteur</t>
  </si>
  <si>
    <t xml:space="preserve">Connnecteur FH1X8 femelle 1 x 8 pts court</t>
  </si>
  <si>
    <t xml:space="preserve">49006</t>
  </si>
  <si>
    <t xml:space="preserve">https://www.gotronic.fr/art-connnecteur-fh1x8-22734.htm</t>
  </si>
  <si>
    <t xml:space="preserve">Régulateur 5V</t>
  </si>
  <si>
    <t xml:space="preserve">L7805CV</t>
  </si>
  <si>
    <t xml:space="preserve">02450</t>
  </si>
  <si>
    <t xml:space="preserve">https://www.gotronic.fr/art-l7805cv-1578.htm</t>
  </si>
  <si>
    <t xml:space="preserve">Arduino Nano</t>
  </si>
  <si>
    <t xml:space="preserve">Arduino Nano A000005</t>
  </si>
  <si>
    <t xml:space="preserve">25952</t>
  </si>
  <si>
    <t xml:space="preserve">https://www.gotronic.fr/art-arduino-nano-a000005-12422.htm</t>
  </si>
  <si>
    <t xml:space="preserve">Condensateur 100µF</t>
  </si>
  <si>
    <t xml:space="preserve">Condensateur radial 100µF/25V</t>
  </si>
  <si>
    <t xml:space="preserve">22710</t>
  </si>
  <si>
    <t xml:space="preserve">https://www.gotronic.fr/art-condensateur-radial-100uf-25v-11348.htm</t>
  </si>
  <si>
    <t xml:space="preserve">Condensateur 0,1µF</t>
  </si>
  <si>
    <t xml:space="preserve">Condensateur tantale 0,1µF/35V</t>
  </si>
  <si>
    <t xml:space="preserve">04870</t>
  </si>
  <si>
    <t xml:space="preserve">https://www.gotronic.fr/art-condensateur-tantale-0-1uf-35v-3317.htm</t>
  </si>
  <si>
    <t xml:space="preserve">Driver moteur</t>
  </si>
  <si>
    <t xml:space="preserve">Driver de moteur pas-à-pas DRV8825 2133</t>
  </si>
  <si>
    <t xml:space="preserve">33334</t>
  </si>
  <si>
    <t xml:space="preserve">https://www.gotronic.fr/art-driver-de-moteur-pas-a-pas-drv8825-2133-22273.htm</t>
  </si>
  <si>
    <t xml:space="preserve">Batterie</t>
  </si>
  <si>
    <t xml:space="preserve">Câble 0,75mm2 noir</t>
  </si>
  <si>
    <t xml:space="preserve">Fil de câblage FC75N </t>
  </si>
  <si>
    <t xml:space="preserve">48448</t>
  </si>
  <si>
    <t xml:space="preserve">https://www.gotronic.fr/art-fil-de-cablage-fc75n-15203.htm</t>
  </si>
  <si>
    <t xml:space="preserve">Câble 0,75mm2 rouge</t>
  </si>
  <si>
    <t xml:space="preserve">Fil de câblage FC75R </t>
  </si>
  <si>
    <t xml:space="preserve">48449</t>
  </si>
  <si>
    <t xml:space="preserve">https://www.gotronic.fr/art-fil-de-cablage-fc75r-15206.htm</t>
  </si>
  <si>
    <t xml:space="preserve">Consommables</t>
  </si>
  <si>
    <t xml:space="preserve">Jeu de rilsans</t>
  </si>
  <si>
    <t xml:space="preserve">Jeu de 75 serre-câbles TF01</t>
  </si>
  <si>
    <t xml:space="preserve">https://www.gotronic.fr/art-jeu-de-75-serre-cables-tf01-6382.htm</t>
  </si>
  <si>
    <t xml:space="preserve">Câbles d’équilibrage</t>
  </si>
  <si>
    <t xml:space="preserve">Cordon JST PH femelle 4 cts JST4 vers fils - avec embase JST mâle à souder</t>
  </si>
  <si>
    <t xml:space="preserve">https://www.gotronic.fr/art-cordon-jst-ph-femelle-4-cts-jst4-22571.htm</t>
  </si>
  <si>
    <t xml:space="preserve">Cable recharge</t>
  </si>
  <si>
    <t xml:space="preserve">Connecteur  XT60 femelle</t>
  </si>
  <si>
    <t xml:space="preserve">Fiche femelle 30 A XT60-F</t>
  </si>
  <si>
    <t xml:space="preserve">49285</t>
  </si>
  <si>
    <t xml:space="preserve">https://www.gotronic.fr/art-fiche-alim--f-xt60-47680.htm</t>
  </si>
  <si>
    <t xml:space="preserve">Connecteur XT60 mâle</t>
  </si>
  <si>
    <t xml:space="preserve">Fiche mâle 30 A XT60-M</t>
  </si>
  <si>
    <t xml:space="preserve">49286</t>
  </si>
  <si>
    <t xml:space="preserve">https://www.gotronic.fr/art-fiche-alim--m-xt60-47681.htm</t>
  </si>
  <si>
    <t xml:space="preserve">Fil silicone noir</t>
  </si>
  <si>
    <t xml:space="preserve">Câble silicone CS9040N</t>
  </si>
  <si>
    <t xml:space="preserve">08812</t>
  </si>
  <si>
    <t xml:space="preserve">https://www.gotronic.fr/art-cable-silicone-cs9040n-5112.htm</t>
  </si>
  <si>
    <t xml:space="preserve">Fil silicone rouge</t>
  </si>
  <si>
    <t xml:space="preserve">Câble silicone CS9040R</t>
  </si>
  <si>
    <t xml:space="preserve">08817</t>
  </si>
  <si>
    <t xml:space="preserve">https://www.gotronic.fr/art-cable-silicone-cs9040r-5115.htm</t>
  </si>
  <si>
    <t xml:space="preserve">Connecteur banane noir</t>
  </si>
  <si>
    <t xml:space="preserve">Fiche banane 1010N</t>
  </si>
  <si>
    <t xml:space="preserve">08240</t>
  </si>
  <si>
    <t xml:space="preserve">https://www.gotronic.fr/art-fiche-banane-1010n-178.htm</t>
  </si>
  <si>
    <t xml:space="preserve">Connecteur banne rouge</t>
  </si>
  <si>
    <t xml:space="preserve">Fiche banane 1010R</t>
  </si>
  <si>
    <t xml:space="preserve">08241</t>
  </si>
  <si>
    <t xml:space="preserve">https://www.gotronic.fr/art-fiche-banane-1010r-179.htm</t>
  </si>
  <si>
    <t xml:space="preserve">Jeu de gaines thermo-rétractable</t>
  </si>
  <si>
    <t xml:space="preserve">Boîte de 276 gaines FTK201</t>
  </si>
  <si>
    <t xml:space="preserve">08848</t>
  </si>
  <si>
    <t xml:space="preserve">https://www.gotronic.fr/art-boite-de-276-gaines-ftk201-5136.htm</t>
  </si>
  <si>
    <t xml:space="preserve">Outil</t>
  </si>
  <si>
    <t xml:space="preserve">Pince à sertir RJ 45</t>
  </si>
  <si>
    <t xml:space="preserve">Pince à sertir HT210</t>
  </si>
  <si>
    <t xml:space="preserve">13088</t>
  </si>
  <si>
    <t xml:space="preserve">https://www.gotronic.fr/art-pince-a-sertir-ht210-7050.htm</t>
  </si>
  <si>
    <t xml:space="preserve">Interripteur magnétique</t>
  </si>
  <si>
    <t xml:space="preserve">Relais reed MK41A66B</t>
  </si>
  <si>
    <t xml:space="preserve"> 06096</t>
  </si>
  <si>
    <t xml:space="preserve">https://www.gotronic.fr/art-relais-reed-mk41a66b-4086.htm</t>
  </si>
  <si>
    <t xml:space="preserve">Video &amp; Cable ethernet</t>
  </si>
  <si>
    <t xml:space="preserve">Connecteur RJ 45</t>
  </si>
  <si>
    <t xml:space="preserve">Connecteur RJ45</t>
  </si>
  <si>
    <t xml:space="preserve">08532</t>
  </si>
  <si>
    <t xml:space="preserve">https://www.gotronic.fr/art-connecteur-rj45-4912.htm</t>
  </si>
  <si>
    <t xml:space="preserve">Frais de Port</t>
  </si>
  <si>
    <t xml:space="preserve">Total</t>
  </si>
  <si>
    <t xml:space="preserve">EDMUND</t>
  </si>
  <si>
    <t xml:space="preserve">Edmund Optics</t>
  </si>
  <si>
    <t xml:space="preserve">Vidéo</t>
  </si>
  <si>
    <t xml:space="preserve">Objectif caméra</t>
  </si>
  <si>
    <t xml:space="preserve">Objectif à Distance Focale Fixe Série UC 4 mm</t>
  </si>
  <si>
    <t xml:space="preserve">http://edmundoptics.fr/p/4mm-uc-series-fixed-focal-length-lens/2966/</t>
  </si>
  <si>
    <t xml:space="preserve">Qté : 1 si mono</t>
  </si>
  <si>
    <t xml:space="preserve">Frais de port</t>
  </si>
  <si>
    <t xml:space="preserve">DIGIKEY</t>
  </si>
  <si>
    <t xml:space="preserve">Digikey</t>
  </si>
  <si>
    <t xml:space="preserve">Carte micro SD 256 GB</t>
  </si>
  <si>
    <t xml:space="preserve">Sahasra Electronic Solutions Limited CA227-011</t>
  </si>
  <si>
    <t xml:space="preserve">5093-CA227-011-ND</t>
  </si>
  <si>
    <t xml:space="preserve">https://www.digikey.fr/fr/products/detail/sahasra-electronic-solutions-limited/CA227-011/22532602</t>
  </si>
  <si>
    <t xml:space="preserve">Outil coupe gaîne</t>
  </si>
  <si>
    <t xml:space="preserve">Knipex Tools LP 16 95 01 SB</t>
  </si>
  <si>
    <t xml:space="preserve">16 95 01 SB</t>
  </si>
  <si>
    <t xml:space="preserve">https://www.digikey.fr/fr/products/detail/knipex-tools-lp/16-95-01-SB/10451717</t>
  </si>
  <si>
    <t xml:space="preserve">Bornier 2x20 CMS</t>
  </si>
  <si>
    <t xml:space="preserve">M20-7872042</t>
  </si>
  <si>
    <t xml:space="preserve">M20-7872042-ND</t>
  </si>
  <si>
    <t xml:space="preserve">https://www.digikey.fr/fr/products/detail/harwin-inc/M20-7872042/3919743</t>
  </si>
  <si>
    <t xml:space="preserve">AMAZON</t>
  </si>
  <si>
    <t xml:space="preserve">Amazon</t>
  </si>
  <si>
    <t xml:space="preserve">Aimants néodymes carrés</t>
  </si>
  <si>
    <t xml:space="preserve">Yizhet Puissant aimant néodyme super fort pour bricolage pour panneaux mur, réfrigérateur, tableau blanc - Aimant Neodyme Carré de 10X10X4mm (20PCS)</t>
  </si>
  <si>
    <t xml:space="preserve">https://www.amazon.fr/Yizhet-Puissant-Bricolage-r%C3%A9frig%C3%A9rateur-10X10X4mm/dp/B07H2BVXDL/ref=sr_1_11</t>
  </si>
  <si>
    <t xml:space="preserve">Consommables + outil</t>
  </si>
  <si>
    <t xml:space="preserve">Ferrules + pince à sertir</t>
  </si>
  <si>
    <t xml:space="preserve">Pince à Sertir,Pinces à Sertir à Cliquet a 0.5-10mm², Pince à Cosse de Câblevec Electrique 1250pcs AWG22-8 Outil de Sertissage de Ferrule pour soudage électrique ou les industries électriques</t>
  </si>
  <si>
    <t xml:space="preserve">https://www.amazon.fr/Electrique-Sertissage-%C3%A9lectrique-industries-%C3%A9lectriques/dp/B0DPHPJDDP/ref=sr_1_1?__mk_fr_FR=%C3%85M%C3%85%C5%BD%C3%95%C3%91&amp;sr=8-1</t>
  </si>
  <si>
    <t xml:space="preserve">Convertisseur 5V</t>
  </si>
  <si>
    <t xml:space="preserve">Convertisseur de Tension 24V/12V vers 5V 10A 50W Step-Down Convertisseur</t>
  </si>
  <si>
    <t xml:space="preserve">https://www.amazon.fr/MZHOU-Convertisseur-12V-24V-transformateur/dp/B0DCVB41RB/ref=sr_1_1?__mk_fr_FR=%C3%85M%C3%85%C5%BD%C3%95%C3%91&amp;s=electronics&amp;sr=1-1</t>
  </si>
  <si>
    <t xml:space="preserve">Connecteur XT30 avec câble</t>
  </si>
  <si>
    <t xml:space="preserve">YIXISI 5 Paires XT30 Connecteur Mâle Femelle avec Fil de Silicium de 100 mm 14AWG, pour Batterie RC Lipo FPV Drone</t>
  </si>
  <si>
    <t xml:space="preserve">https://www.amazon.fr/YIXISI-XT30-Connecteur-Silicium-Batterie/dp/B0CF8B8WWT?__mk_fr_FR=%C3%85M%C3%85%C5%BD%C3%95%C3%91&amp;crid=2XGW30ARVXU3U&amp;dib=eyJ2IjoiMSJ9.Jc9Mi0jlYWIsBXWaOCjh20WQaWy5MR6xSwR7ZOLLgwYx5OWQgdOTWrCQBuFG5lRKwvRFRaNGC9Ou3862j9uXudfjKF4EdhKV34oeAghvJpGc19O0Yn58EGIiZAvUk4wbbfZRC7LdQvGeNmuUL8xymCyAianfAzpSWcF7mlxLc80HN3_lWTbJHYA3onY4FReowUzHLKiQNdbIhxVGVv4ChuT_AUiGeLmgQ5OIGONaf_2v2dFC_gERu-f5ccGNX7txoSqL5jhesAUabnOWK96yQIEGxPqJokVV91joD_ncO_U.7272sRSibweqQ84og4QRnF0oWg7IRVqHEkL4oTBea2E&amp;dib_tag=se&amp;keywords=yixisi%2B5%2Bpaires%2Bxt30&amp;qid=1772724540&amp;sprefix=yixisi%2B5%2Bpaires%2Bxt30%2Caps%2C277&amp;sr=8-2&amp;th=1</t>
  </si>
  <si>
    <t xml:space="preserve">Bande de nickel</t>
  </si>
  <si>
    <t xml:space="preserve">Plaque Nickel Bande Ruban 0,15 x 8 mm Bande de Nickel pour batterie 18650 Spot Soudure Compatible pour Spot Soudeur Mach</t>
  </si>
  <si>
    <t xml:space="preserve">https://www.amazon.fr/Plaque-batterie-Soudure-Compatible-Soudeur/dp/B09TT4KMLB</t>
  </si>
  <si>
    <t xml:space="preserve">Ruban ESD</t>
  </si>
  <si>
    <t xml:space="preserve">MMOBIEL Ruban Adhésif (20mm x 30m) - Ruban Polyimide Résistant à la Chaleur pour Sublimation Ruban de Pressage Thermique à Haute Température ESD pour HVAC Electronique Soudure Impression 3D etc.</t>
  </si>
  <si>
    <t xml:space="preserve">https://www.amazon.fr/MMOBIEL-Polyimide-longueur-Antistatique-R%C3%A9sistant/dp/B07W4KWKKB</t>
  </si>
  <si>
    <t xml:space="preserve">Kit supports Raspberry Pi HAT</t>
  </si>
  <si>
    <t xml:space="preserve">Geekworm Outil d'Installation pour Raspberry Pi - 100 pcs M2.5 Hex Brass Spacer/Standoff + Écrou + Vis - Accessoires pour Raspberry Pi 5/4/3 B+/3B/3A+/Zero W</t>
  </si>
  <si>
    <t xml:space="preserve">https://www.amazon.fr/Geekworm-Raspberry-Installation-Hexagonale-Accessoires/dp/B07MN2GY6Y/ref=sr_1_21</t>
  </si>
  <si>
    <t xml:space="preserve">Soudeuse par points</t>
  </si>
  <si>
    <t xml:space="preserve">Soudeur par Points Réglable pour Batteries 8000W, Soudeuse à Point Portable 0,1-0,3mm avec Double Sortie D'impulsion 1-9 Vitesses Réglable par Pédale pour Fabrication de Packs de Batteries</t>
  </si>
  <si>
    <t xml:space="preserve">https://www.amazon.fr/Neulriscn-R%C3%A9glable-Batteries-Dimpulsion-Fabrication/dp/B0DNQHWD2Q/ref=sr_1_1?__mk_fr_FR=%C3%85M%C3%85%C5%BD%C3%95%C3%91&amp;s=hi&amp;sr=1-1</t>
  </si>
  <si>
    <t xml:space="preserve">JST + pince à sertir</t>
  </si>
  <si>
    <t xml:space="preserve">Preciva Pince à Sertir avec 1350pcs Connecteur Jst, 0.08-1mm² (AWG28-18) Cosses Electriques a Sertir avec 550 Connecteurs JST-XH et 800 broches JST-XH</t>
  </si>
  <si>
    <t xml:space="preserve">https://www.amazon.fr/0-08-1mm%C2%B2-Preciva-Sertissage-Connecteurs-Connecteur/dp/B0CVVXWQV1/ref=sr_1_6?__mk_fr_FR=%C3%85M%C3%85%C5%BD%C3%95%C3%91&amp;sr=8-6</t>
  </si>
  <si>
    <t xml:space="preserve">BMS</t>
  </si>
  <si>
    <t xml:space="preserve">DALY BMS 3S 12V 15A Li-ION avec équilibrage des cellules</t>
  </si>
  <si>
    <t xml:space="preserve">https://www.amazon.fr/DALY-d%C3%A9quilibrage-Lithium%EF%BC%88Li-ION-20S-72V/dp/B0D111WMY5?__mk_fr_FR=%C3%85M%C3%85%C5%BD%C3%95%C3%91&amp;sr=8-1</t>
  </si>
  <si>
    <t xml:space="preserve">Chargeur</t>
  </si>
  <si>
    <t xml:space="preserve">Chargeur 3S 3,3A</t>
  </si>
  <si>
    <t xml:space="preserve">Chargeur de batterie lithium-ion 12,6 V 3,3 A avec barre de pourcentage de charge 20 % 50 % 80 % 100 % </t>
  </si>
  <si>
    <t xml:space="preserve">https://www.amazon.fr/dp/B0BQ73KNXM?ref=ppx_yo2ov_dt_b_fed_asin_title</t>
  </si>
  <si>
    <t xml:space="preserve">CONRAD</t>
  </si>
  <si>
    <t xml:space="preserve">Conrad</t>
  </si>
  <si>
    <t xml:space="preserve">Cellules 18650 3450 mAh</t>
  </si>
  <si>
    <t xml:space="preserve">Pile rechargeable spéciale 18650 Samsung S9009316342928 résiste aux courants élevés, à tête plate Li-Ion 3.6 V 3450 mAh</t>
  </si>
  <si>
    <t xml:space="preserve">https://www.conrad.fr/fr/p/pile-rechargeable-speciale-18650-samsung-s9009316342928-resiste-aux-courants-eleves-a-tete-plate-li-ion-3-6-v-3450-mah-1499572.html</t>
  </si>
  <si>
    <t xml:space="preserve">NOOTICA</t>
  </si>
  <si>
    <t xml:space="preserve">Nootica</t>
  </si>
  <si>
    <t xml:space="preserve">Trépied</t>
  </si>
  <si>
    <t xml:space="preserve">Plomb 1kg</t>
  </si>
  <si>
    <t xml:space="preserve">Plomb de ceinture Sublest 1 kg</t>
  </si>
  <si>
    <t xml:space="preserve">https://www.nootica.fr/plomb-de-ceinture-sublest-1-kg.html</t>
  </si>
  <si>
    <t xml:space="preserve">Bout</t>
  </si>
  <si>
    <t xml:space="preserve">Cordage de pêche movline coulant 30 m</t>
  </si>
  <si>
    <t xml:space="preserve">https://www.nootica.fr/cordage-de-peche-movline-coulant-30-m.html</t>
  </si>
  <si>
    <t xml:space="preserve">Bouée de surface</t>
  </si>
  <si>
    <t xml:space="preserve">Bouée de mouillage Plastimo</t>
  </si>
  <si>
    <t xml:space="preserve">https://www.nootica.fr/bouee-plastimo-de-mouillage.html</t>
  </si>
  <si>
    <t xml:space="preserve">Rehab</t>
  </si>
  <si>
    <t xml:space="preserve">Cage</t>
  </si>
  <si>
    <t xml:space="preserve">Cage de protection </t>
  </si>
  <si>
    <t xml:space="preserve">STEPPERONLINE</t>
  </si>
  <si>
    <t xml:space="preserve">Stepperonline</t>
  </si>
  <si>
    <t xml:space="preserve">Moteur</t>
  </si>
  <si>
    <t xml:space="preserve">Moteur pas à pas</t>
  </si>
  <si>
    <t xml:space="preserve">E Series Nema 17 Bipolar 26Ncm(36.82oz.in) 1.2A 42X42x30mm 4 Wires w/ 1m Cable &amp; Connector</t>
  </si>
  <si>
    <t xml:space="preserve">17HE12-1204S </t>
  </si>
  <si>
    <t xml:space="preserve">https://www.omc-stepperonline.com/e-series-nema-17-bipolar-26ncm-36-82oz-in-1-2a-42x42x30mm-4-wires-w-1m-cable-connector-17he12-1204s</t>
  </si>
  <si>
    <t xml:space="preserve">Réducteur 100:1</t>
  </si>
  <si>
    <t xml:space="preserve">EG Series Planetary Gearbox Gear Ratio 100:1 Backlash 20arc-min for Nema 17 Stepper Motor</t>
  </si>
  <si>
    <t xml:space="preserve">EG17-G100 </t>
  </si>
  <si>
    <t xml:space="preserve">https://www.omc-stepperonline.com/eg-series-planetary-gearbox-gear-ratio-100-1-backlash-20-arc-min-for-nema-17-stepper-motor-eg17-g100</t>
  </si>
  <si>
    <t xml:space="preserve">Coupleur flexible</t>
  </si>
  <si>
    <t xml:space="preserve">8mm - 8mm Flexible Jaw Coupling 25x30mm CNC Stepper Motor Shaft Coupler</t>
  </si>
  <si>
    <t xml:space="preserve">MH2530-8-8 </t>
  </si>
  <si>
    <t xml:space="preserve">https://www.omc-stepperonline.com/8mm-8mm-flexible-jaw-coupling-25x30mm-cnc-stepper-motor-shaft-coupler-mh2530-8-8</t>
  </si>
  <si>
    <t xml:space="preserve">ARIANEPLAST</t>
  </si>
  <si>
    <t xml:space="preserve">Arianeplast</t>
  </si>
  <si>
    <t xml:space="preserve">Bobine PETG</t>
  </si>
  <si>
    <t xml:space="preserve">PETG Blanc Anti-UV 3D filament Arianeplast - Fabriquant Français</t>
  </si>
  <si>
    <t xml:space="preserve">E4M</t>
  </si>
  <si>
    <t xml:space="preserve">https://www.arianeplast.com/fr/3d-filament-petg/2744-893-petg-blanc-anti-uv-3d-filament-arianeplast-fabrique-en-france.html#/3-poids_net-1_kg_175mm</t>
  </si>
  <si>
    <t xml:space="preserve">Bricovis</t>
  </si>
  <si>
    <t xml:space="preserve">Ecrou M2.5</t>
  </si>
  <si>
    <t xml:space="preserve">Écrou Hu M2.5 Inox A4 DIN 934</t>
  </si>
  <si>
    <t xml:space="preserve">https://www.bricovis.fr/produit-ecrou-hu-inox-a4-din-934-ecrhua4/#ECRHU02.5A4</t>
  </si>
  <si>
    <t xml:space="preserve">Vis M2.5x6</t>
  </si>
  <si>
    <t xml:space="preserve">TCHC M2.5X6 Inox A4 DIN 912</t>
  </si>
  <si>
    <t xml:space="preserve">https://www.bricovis.fr/produit-vis-a-tete-cylindrique-hexagonale-creuse-inox-a4-filetage-total-din-912-tchca4ef/#TCHC02.5/006A4EF</t>
  </si>
  <si>
    <t xml:space="preserve">Vidéo &amp; Batterie</t>
  </si>
  <si>
    <t xml:space="preserve">Vis M2.5x10</t>
  </si>
  <si>
    <t xml:space="preserve">TCHC M2.5X10 Inox A4 Filetage Total DIN 912</t>
  </si>
  <si>
    <t xml:space="preserve">https://www.bricovis.fr/produit-vis-a-tete-cylindrique-hexagonale-creuse-inox-a4-filetage-total-din-912-tchca4ef/#TCHC02.5/010A4EF</t>
  </si>
  <si>
    <t xml:space="preserve">Qté : 8 si mono</t>
  </si>
  <si>
    <t xml:space="preserve">Vis M3x10</t>
  </si>
  <si>
    <t xml:space="preserve">TCHC M3X10 Inox A4 Filetage Total DIN 912</t>
  </si>
  <si>
    <t xml:space="preserve">https://www.bricovis.fr/produit-vis-a-tete-cylindrique-hexagonale-creuse-inox-a4-filetage-total-din-912-tchca4ef/#TCHC03/010A4EF</t>
  </si>
  <si>
    <t xml:space="preserve">Vis M2.5x8</t>
  </si>
  <si>
    <t xml:space="preserve">TCHC M2.5X8 Inox A4 Filetage Total DIN 912</t>
  </si>
  <si>
    <t xml:space="preserve">https://www.bricovis.fr/produit-vis-a-tete-cylindrique-hexagonale-creuse-inox-a4-filetage-total-din-912-tchca4ef/#TCHC02.5/008A4EF</t>
  </si>
  <si>
    <t xml:space="preserve">Berceaux</t>
  </si>
  <si>
    <t xml:space="preserve">Vis M6x140</t>
  </si>
  <si>
    <t xml:space="preserve">TCHC M6X140 Inox A4 Filetage Partiel DIN 912</t>
  </si>
  <si>
    <t xml:space="preserve">https://www.bricovis.fr/produit-vis-a-tete-cylindrique-hexagonale-creuse-inox-a4-filetage-partiel-din-912-tchca4pf/#TCHC06/140A4PF</t>
  </si>
  <si>
    <t xml:space="preserve">Ecrou M6 nylstop</t>
  </si>
  <si>
    <t xml:space="preserve">Écrou Nylstop M6 Inox A4 DIN 985</t>
  </si>
  <si>
    <t xml:space="preserve">https://www.bricovis.fr/produit-ecrou-nylstop-inox-a4-din-985-ecrnyla4/#ECRNYL06A4</t>
  </si>
  <si>
    <t xml:space="preserve">Ecrou papillon M4</t>
  </si>
  <si>
    <t xml:space="preserve">Écrou à Ailettes Forme Américaine M4 Inox A4 DIN 315</t>
  </si>
  <si>
    <t xml:space="preserve">https://www.bricovis.fr/produit-ecrou-a-ailette-inox-a4-ecraila4/#ECRAIL04A4</t>
  </si>
  <si>
    <t xml:space="preserve">Vis M4x18</t>
  </si>
  <si>
    <t xml:space="preserve">TCHC M4X18 Inox A4 Filetage Total DIN 912</t>
  </si>
  <si>
    <t xml:space="preserve">https://www.bricovis.fr/produit-vis-a-tete-cylindrique-hexagonale-creuse-inox-a4-filetage-total-din-912-tchca4ef/#TCHC04/018A4EF</t>
  </si>
  <si>
    <t xml:space="preserve">Vis M4x20</t>
  </si>
  <si>
    <t xml:space="preserve">TCHC M4X20 Inox A4 Filetage Total DIN 912</t>
  </si>
  <si>
    <t xml:space="preserve">https://www.bricovis.fr/produit-vis-a-tete-cylindrique-hexagonale-creuse-inox-a4-filetage-total-din-912-tchca4ef/#TCHC04/020A4EF</t>
  </si>
  <si>
    <t xml:space="preserve">Entretoise M4x10</t>
  </si>
  <si>
    <t xml:space="preserve">Entretoise Hexagonale M4X10 Mâle/Femelle Six Pans 5.5 Laiton Nickelé</t>
  </si>
  <si>
    <t xml:space="preserve">https://www.bricovis.fr/produit-entretoise-hexagonale-male-femelle-laiton-nickele-entmlai/#ENTH04/010MFLAINI</t>
  </si>
  <si>
    <t xml:space="preserve">Vis M4x8</t>
  </si>
  <si>
    <t xml:space="preserve">TCHC M4X8 Inox A4 Filetage Total DIN 912</t>
  </si>
  <si>
    <t xml:space="preserve">https://www.bricovis.fr/produit-vis-a-tete-cylindrique-hexagonale-creuse-inox-a4-filetage-total-din-912-tchca4ef/#TCHC04/008A4EF</t>
  </si>
  <si>
    <t xml:space="preserve">Vis pointeau M6x10</t>
  </si>
  <si>
    <t xml:space="preserve">STHC Pointeau M6X10 Inox A4 DIN 914</t>
  </si>
  <si>
    <t xml:space="preserve">https://www.bricovis.fr/produit-vis-sans-tete-hexagonale-creuse-bout-pointeau-inox-a4-din-914-sthcptoa4/#STHCPTO06/010A4</t>
  </si>
  <si>
    <t xml:space="preserve">Vis M4x10</t>
  </si>
  <si>
    <t xml:space="preserve">TCHC M4X10 Inox A4 Filetage Total DIN 912</t>
  </si>
  <si>
    <t xml:space="preserve">https://www.bricovis.fr/produit-vis-a-tete-cylindrique-hexagonale-creuse-inox-a4-filetage-total-din-912-tchca4ef/#TCHC04/010A4EF</t>
  </si>
  <si>
    <t xml:space="preserve">Vis M6x10</t>
  </si>
  <si>
    <t xml:space="preserve">TCHC M6X10 Inox A4 Filetage Total DIN 912</t>
  </si>
  <si>
    <t xml:space="preserve">https://www.bricovis.fr/produit-vis-a-tete-cylindrique-hexagonale-creuse-inox-a4-filetage-total-din-912-tchca4ef/#TCHC06/010A4EF</t>
  </si>
  <si>
    <t xml:space="preserve">Vis M16x40</t>
  </si>
  <si>
    <t xml:space="preserve">TH M16X40 Inox A4 Filetage Total DIN 933</t>
  </si>
  <si>
    <t xml:space="preserve">https://www.bricovis.fr/produit-vis-a-tete-hexagonale-inox-a4-filetage-total-din-933-tha4ef/#TH16/040A4EF</t>
  </si>
  <si>
    <t xml:space="preserve">Rondelle LL M16</t>
  </si>
  <si>
    <t xml:space="preserve">Rondelle "LL" Ø 16 Inox A4 NFE 25513</t>
  </si>
  <si>
    <t xml:space="preserve">https://www.bricovis.fr/produit-rondelle-ll-inox-a4-nfe-25513-ronlla4/#RONLL16A4</t>
  </si>
  <si>
    <t xml:space="preserve">Ecrou M16 nylstop</t>
  </si>
  <si>
    <t xml:space="preserve">Écrou Nylstop M16 Inox A4 DIN 985</t>
  </si>
  <si>
    <t xml:space="preserve">https://www.bricovis.fr/produit-ecrou-nylstop-inox-a4-din-985-ecrnyla4/#ECRNYL16A4</t>
  </si>
  <si>
    <t xml:space="preserve">Ecrou à anneau M8</t>
  </si>
  <si>
    <t xml:space="preserve">Écrou à Anneau M8 Inox A4 DIN 582</t>
  </si>
  <si>
    <t xml:space="preserve">https://www.bricovis.fr/produit-ecrou-a-anneau-inox-a4-acca64631/#ECRANN08A4</t>
  </si>
  <si>
    <t xml:space="preserve">Rondelle LL M8</t>
  </si>
  <si>
    <t xml:space="preserve">Rondelle "LL" Ø 8 Inox A4 NFE 25513</t>
  </si>
  <si>
    <t xml:space="preserve">https://www.bricovis.fr/produit-rondelle-ll-inox-a4-nfe-25513-ronlla4/#RONLL08A4</t>
  </si>
  <si>
    <t xml:space="preserve">Vis M8x25</t>
  </si>
  <si>
    <t xml:space="preserve">TCHC M8X25 Inox A4 Filetage Total DIN 912</t>
  </si>
  <si>
    <t xml:space="preserve">https://www.bricovis.fr/produit-vis-a-tete-cylindrique-hexagonale-creuse-inox-a4-filetage-total-din-912-tchca4ef/#TCHC08/025A4EF</t>
  </si>
  <si>
    <t xml:space="preserve">Support Lumen</t>
  </si>
  <si>
    <t xml:space="preserve">Boulon M3x14</t>
  </si>
  <si>
    <t xml:space="preserve">TCHC M3X14 Inox A4 Filetage Total DIN 912</t>
  </si>
  <si>
    <t xml:space="preserve">https://www.bricovis.fr/produit-vis-a-tete-cylindrique-hexagonale-creuse-inox-a4-filetage-total-din-912-tchca4ef/#TCHC03/014A4EF</t>
  </si>
  <si>
    <t xml:space="preserve">Boulon M3x6</t>
  </si>
  <si>
    <t xml:space="preserve">TCHC M3X6 Inox A4 Filetage Total DIN 912</t>
  </si>
  <si>
    <t xml:space="preserve">https://www.bricovis.fr/produit-vis-a-tete-cylindrique-hexagonale-creuse-inox-a4-filetage-total-din-912-tchca4ef/#TCHC03/006A4</t>
  </si>
  <si>
    <t xml:space="preserve">RS</t>
  </si>
  <si>
    <t xml:space="preserve">Pélicase</t>
  </si>
  <si>
    <t xml:space="preserve">Boîte de transport Peli 1560 en Polycarbonate, Dimensions externes 56.1 x 45.5 x 26.5cm</t>
  </si>
  <si>
    <t xml:space="preserve">https://fr.rs-online.com/web/p/mallettes-de-transport/0630038</t>
  </si>
  <si>
    <t xml:space="preserve">Total (TTC)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</si>
</sst>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\ [$€-40C];[RED]\-#,##0.00\ [$€-40C]"/>
    <numFmt numFmtId="166" formatCode="d\ mmmm\ yyyy"/>
    <numFmt numFmtId="167" formatCode="@"/>
  </numFmts>
  <fonts count="32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6600"/>
      <name val="Arial"/>
      <family val="0"/>
      <charset val="1"/>
    </font>
    <font>
      <sz val="18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sz val="10"/>
      <color rgb="FF996600"/>
      <name val="Arial"/>
      <family val="0"/>
      <charset val="1"/>
    </font>
    <font>
      <b val="true"/>
      <i val="true"/>
      <u val="single"/>
      <sz val="10"/>
      <color rgb="FF000000"/>
      <name val="Arial"/>
      <family val="0"/>
      <charset val="1"/>
    </font>
    <font>
      <sz val="11"/>
      <color rgb="FF000000"/>
      <name val="Arial"/>
      <family val="2"/>
      <charset val="1"/>
    </font>
    <font>
      <b val="true"/>
      <sz val="2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u val="single"/>
      <sz val="11"/>
      <color rgb="FF0563C1"/>
      <name val="Arial"/>
      <family val="0"/>
      <charset val="1"/>
    </font>
    <font>
      <u val="single"/>
      <sz val="11"/>
      <color rgb="FF0563C1"/>
      <name val="Arial"/>
      <family val="2"/>
      <charset val="1"/>
    </font>
    <font>
      <sz val="11"/>
      <name val="Arial"/>
      <family val="2"/>
      <charset val="1"/>
    </font>
    <font>
      <sz val="10"/>
      <color rgb="FF1B1B1E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sz val="11"/>
      <color rgb="FF0F1111"/>
      <name val="Arial"/>
      <family val="2"/>
      <charset val="1"/>
    </font>
    <font>
      <b val="true"/>
      <sz val="6"/>
      <color rgb="FF000000"/>
      <name val="Arial"/>
      <family val="2"/>
      <charset val="1"/>
    </font>
    <font>
      <sz val="14"/>
      <color rgb="FF00000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7B59"/>
        <bgColor rgb="FFE16173"/>
      </patternFill>
    </fill>
    <fill>
      <patternFill patternType="solid">
        <fgColor rgb="FF000000"/>
        <bgColor rgb="FF0F1111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FF0000"/>
        <bgColor rgb="FFCC0000"/>
      </patternFill>
    </fill>
    <fill>
      <patternFill patternType="solid">
        <fgColor rgb="FFE16173"/>
        <bgColor rgb="FFFF7B59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0A933"/>
        <bgColor rgb="FF00808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thin"/>
      <right style="thin"/>
      <top style="thin"/>
      <bottom style="thin"/>
      <diagonal/>
    </border>
  </borders>
  <cellStyleXfs count="4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2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3" borderId="2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3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3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1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3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 commander" xfId="21"/>
    <cellStyle name="Accent 1 5" xfId="22"/>
    <cellStyle name="Accent 1 5 2" xfId="23"/>
    <cellStyle name="Accent 2 6" xfId="24"/>
    <cellStyle name="Accent 3 7" xfId="25"/>
    <cellStyle name="Accent 4" xfId="26"/>
    <cellStyle name="Bad 8" xfId="27"/>
    <cellStyle name="Catégorie de la table dynamique" xfId="28"/>
    <cellStyle name="Champ de la table dynamique" xfId="29"/>
    <cellStyle name="Coin de la table dynamique" xfId="30"/>
    <cellStyle name="colis perdu" xfId="31"/>
    <cellStyle name="En attente de réception" xfId="32"/>
    <cellStyle name="Error 9" xfId="33"/>
    <cellStyle name="Footnote 10" xfId="34"/>
    <cellStyle name="Good 11" xfId="35"/>
    <cellStyle name="Heading 1 12" xfId="36"/>
    <cellStyle name="Heading 2 13" xfId="37"/>
    <cellStyle name="Heading 3" xfId="38"/>
    <cellStyle name="Hyperlink 14" xfId="39"/>
    <cellStyle name="Neutral 15" xfId="40"/>
    <cellStyle name="Result 4" xfId="41"/>
    <cellStyle name="Résultat de la table dynamique" xfId="42"/>
    <cellStyle name="Sans nom1" xfId="43"/>
    <cellStyle name="Status 16" xfId="44"/>
    <cellStyle name="Text 17" xfId="45"/>
    <cellStyle name="Titre de la table dynamique" xfId="46"/>
    <cellStyle name="Valeur de la table dynamique" xfId="47"/>
    <cellStyle name="Warning 18" xfId="48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16173"/>
      <rgbColor rgb="FF666699"/>
      <rgbColor rgb="FF969696"/>
      <rgbColor rgb="FF003366"/>
      <rgbColor rgb="FF00A933"/>
      <rgbColor rgb="FF0F1111"/>
      <rgbColor rgb="FF333300"/>
      <rgbColor rgb="FF993300"/>
      <rgbColor rgb="FF993366"/>
      <rgbColor rgb="FF333399"/>
      <rgbColor rgb="FF1B1B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tronic.fr/art-carte-raspberry-pi-5-2-gb-39733.htm" TargetMode="External"/><Relationship Id="rId2" Type="http://schemas.openxmlformats.org/officeDocument/2006/relationships/hyperlink" Target="https://www.gotronic.fr/art-batterie-rtc-pour-raspberry-pi-5-38451.htm" TargetMode="External"/><Relationship Id="rId3" Type="http://schemas.openxmlformats.org/officeDocument/2006/relationships/hyperlink" Target="https://www.gotronic.fr/art-radiateurs-economiques-pour-raspberry-pi-4b-32410.htm" TargetMode="External"/><Relationship Id="rId4" Type="http://schemas.openxmlformats.org/officeDocument/2006/relationships/hyperlink" Target="https://www.gotronic.fr/art-nappe-camera-pour-pi-zero-rb0-cam-15-33987.htm" TargetMode="External"/><Relationship Id="rId5" Type="http://schemas.openxmlformats.org/officeDocument/2006/relationships/hyperlink" Target="https://www.gotronic.fr/art-recepteur-gps-miniature-tel0132-32438.htm" TargetMode="External"/><Relationship Id="rId6" Type="http://schemas.openxmlformats.org/officeDocument/2006/relationships/hyperlink" Target="https://www.gotronic.fr/art-capteur-de-couleurs-rgb-isl29125-sen-12829-35375.htm" TargetMode="External"/><Relationship Id="rId7" Type="http://schemas.openxmlformats.org/officeDocument/2006/relationships/hyperlink" Target="https://www.gotronic.fr/art-magnetometre-3-axes-bmm150-sen0419-35122.htm" TargetMode="External"/><Relationship Id="rId8" Type="http://schemas.openxmlformats.org/officeDocument/2006/relationships/hyperlink" Target="https://www.gotronic.fr/art-bornier-ark02z-39582.htm" TargetMode="External"/><Relationship Id="rId9" Type="http://schemas.openxmlformats.org/officeDocument/2006/relationships/hyperlink" Target="https://www.gotronic.fr/art-connecteur-2x20-broches-he40rpi-28118.htm" TargetMode="External"/><Relationship Id="rId10" Type="http://schemas.openxmlformats.org/officeDocument/2006/relationships/hyperlink" Target="https://www.gotronic.fr/art-5-resistances-1-2w-10-k-8486-270.htm" TargetMode="External"/><Relationship Id="rId11" Type="http://schemas.openxmlformats.org/officeDocument/2006/relationships/hyperlink" Target="https://www.gotronic.fr/art-epoxy-brut-1-face-233.htm" TargetMode="External"/><Relationship Id="rId12" Type="http://schemas.openxmlformats.org/officeDocument/2006/relationships/hyperlink" Target="https://www.gotronic.fr/art-driver-de-moteur-pas-a-pas-drv8825-2133-22273.htm" TargetMode="External"/><Relationship Id="rId13" Type="http://schemas.openxmlformats.org/officeDocument/2006/relationships/hyperlink" Target="https://www.gotronic.fr/art-fil-de-cablage-fc75n-15203.htm" TargetMode="External"/><Relationship Id="rId14" Type="http://schemas.openxmlformats.org/officeDocument/2006/relationships/hyperlink" Target="https://www.gotronic.fr/art-fil-de-cablage-fc75r-15206.htm" TargetMode="External"/><Relationship Id="rId15" Type="http://schemas.openxmlformats.org/officeDocument/2006/relationships/hyperlink" Target="https://www.gotronic.fr/art-jeu-de-75-serre-cables-tf01-6382.htm" TargetMode="External"/><Relationship Id="rId16" Type="http://schemas.openxmlformats.org/officeDocument/2006/relationships/hyperlink" Target="https://www.gotronic.fr/art-cordon-jst-ph-femelle-4-cts-jst4-22571.htm" TargetMode="External"/><Relationship Id="rId17" Type="http://schemas.openxmlformats.org/officeDocument/2006/relationships/hyperlink" Target="https://www.gotronic.fr/art-fiche-alim--f-xt60-47680.htm" TargetMode="External"/><Relationship Id="rId18" Type="http://schemas.openxmlformats.org/officeDocument/2006/relationships/hyperlink" Target="https://www.gotronic.fr/art-fiche-alim--m-xt60-47681.htm" TargetMode="External"/><Relationship Id="rId19" Type="http://schemas.openxmlformats.org/officeDocument/2006/relationships/hyperlink" Target="https://www.gotronic.fr/art-cable-silicone-cs9040n-5112.htm" TargetMode="External"/><Relationship Id="rId20" Type="http://schemas.openxmlformats.org/officeDocument/2006/relationships/hyperlink" Target="https://www.gotronic.fr/art-cable-silicone-cs9040r-5115.htm" TargetMode="External"/><Relationship Id="rId21" Type="http://schemas.openxmlformats.org/officeDocument/2006/relationships/hyperlink" Target="https://www.gotronic.fr/art-fiche-banane-1010r-179.htm" TargetMode="External"/><Relationship Id="rId22" Type="http://schemas.openxmlformats.org/officeDocument/2006/relationships/hyperlink" Target="https://www.gotronic.fr/art-boite-de-276-gaines-ftk201-5136.htm" TargetMode="External"/><Relationship Id="rId23" Type="http://schemas.openxmlformats.org/officeDocument/2006/relationships/hyperlink" Target="http://edmundoptics.fr/p/4mm-uc-series-fixed-focal-length-lens/2966/" TargetMode="External"/><Relationship Id="rId24" Type="http://schemas.openxmlformats.org/officeDocument/2006/relationships/hyperlink" Target="https://www.digikey.fr/fr/products/detail/sahasra-electronic-solutions-limited/CA227-011/22532602" TargetMode="External"/><Relationship Id="rId25" Type="http://schemas.openxmlformats.org/officeDocument/2006/relationships/hyperlink" Target="https://www.digikey.fr/fr/products/detail/knipex-tools-lp/16-95-01-SB/10451717" TargetMode="External"/><Relationship Id="rId26" Type="http://schemas.openxmlformats.org/officeDocument/2006/relationships/hyperlink" Target="https://www.amazon.fr/Yizhet-Puissant-Bricolage-r&#233;frig&#233;rateur-10X10X4mm/dp/B07H2BVXDL/ref=sr_1_11" TargetMode="External"/><Relationship Id="rId27" Type="http://schemas.openxmlformats.org/officeDocument/2006/relationships/hyperlink" Target="https://www.amazon.fr/Electrique-Sertissage-&#233;lectrique-industries-&#233;lectriques/dp/B0DPHPJDDP/ref=sr_1_1?__mk_fr_FR=&#197;M&#197;&#381;&#213;&#209;&amp;sr=8-1" TargetMode="External"/><Relationship Id="rId28" Type="http://schemas.openxmlformats.org/officeDocument/2006/relationships/hyperlink" Target="https://www.amazon.fr/MZHOU-Convertisseur-12V-24V-transformateur/dp/B0DCVB41RB/ref=sr_1_1?__mk_fr_FR=&#197;M&#197;&#381;&#213;&#209;&amp;s=electronics&amp;sr=1-1" TargetMode="External"/><Relationship Id="rId29" Type="http://schemas.openxmlformats.org/officeDocument/2006/relationships/hyperlink" Target="https://www.amazon.fr/YIXISI-XT30-Connecteur-Silicium-Batterie/dp/B0CF8B8WWT?__mk_fr_FR=&#197;M&#197;&#381;&#213;&#209;&amp;crid=2XGW30ARVXU3U&amp;dib=eyJ2IjoiMSJ9.Jc9Mi0jlYWIsBXWaOCjh20WQaWy5MR6xSwR7ZOLLgwYx5OWQgdOTWrCQBuFG5lRKwvRFRaNGC9Ou3862j9uXudfjKF4EdhKV34oeAghvJpGc19O0Yn58EGIiZAvUk4wbbfZRC7LdQvGeNmuUL8xymCyAianfAzpSWcF7mlxLc80HN3_lWTbJHYA3onY4FReowUzHLKiQNdbIhxVGVv4ChuT_AUiGeLmgQ5OIGONaf_2v2dFC_gERu-f5ccGNX7txoSqL5jhesAUabnOWK96yQIEGxPqJokVV91joD_ncO_U.7272sRSibweqQ84og4QRnF0oWg7IRVqHEkL4oTBea2E&amp;dib_tag=se&amp;keywords=yixisi%2B5%2Bpaires%2Bxt30&amp;qid=1772724540&amp;sprefix=yixisi%2B5%2Bpaires%2Bxt30%2Caps%2C277&amp;sr=8-2&amp;th=1" TargetMode="External"/><Relationship Id="rId30" Type="http://schemas.openxmlformats.org/officeDocument/2006/relationships/hyperlink" Target="https://www.amazon.fr/Plaque-batterie-Soudure-Compatible-Soudeur/dp/B09TT4KMLB" TargetMode="External"/><Relationship Id="rId31" Type="http://schemas.openxmlformats.org/officeDocument/2006/relationships/hyperlink" Target="https://www.amazon.fr/MMOBIEL-Polyimide-longueur-Antistatique-R&#233;sistant/dp/B07W4KWKKB" TargetMode="External"/><Relationship Id="rId32" Type="http://schemas.openxmlformats.org/officeDocument/2006/relationships/hyperlink" Target="https://www.amazon.fr/Geekworm-Raspberry-Installation-Hexagonale-Accessoires/dp/B07MN2GY6Y/ref=sr_1_21" TargetMode="External"/><Relationship Id="rId33" Type="http://schemas.openxmlformats.org/officeDocument/2006/relationships/hyperlink" Target="https://www.amazon.fr/Neulriscn-R&#233;glable-Batteries-Dimpulsion-Fabrication/dp/B0DNQHWD2Q/ref=sr_1_1?__mk_fr_FR=&#197;M&#197;&#381;&#213;&#209;&amp;s=hi&amp;sr=1-1" TargetMode="External"/><Relationship Id="rId34" Type="http://schemas.openxmlformats.org/officeDocument/2006/relationships/hyperlink" Target="https://www.amazon.fr/0-08-1mm&#178;-Preciva-Sertissage-Connecteurs-Connecteur/dp/B0CVVXWQV1/ref=sr_1_6?__mk_fr_FR=&#197;M&#197;&#381;&#213;&#209;&amp;sr=8-6" TargetMode="External"/><Relationship Id="rId35" Type="http://schemas.openxmlformats.org/officeDocument/2006/relationships/hyperlink" Target="https://www.amazon.fr/dp/B0BQ73KNXM?ref=ppx_yo2ov_dt_b_fed_asin_title" TargetMode="External"/><Relationship Id="rId36" Type="http://schemas.openxmlformats.org/officeDocument/2006/relationships/hyperlink" Target="https://www.conrad.fr/fr/p/pile-rechargeable-speciale-18650-samsung-s9009316342928-resiste-aux-courants-eleves-a-tete-plate-li-ion-3-6-v-3450-mah-1499572.html" TargetMode="External"/><Relationship Id="rId37" Type="http://schemas.openxmlformats.org/officeDocument/2006/relationships/hyperlink" Target="https://www.nootica.fr/plomb-de-ceinture-sublest-1-kg.html" TargetMode="External"/><Relationship Id="rId38" Type="http://schemas.openxmlformats.org/officeDocument/2006/relationships/hyperlink" Target="https://www.nootica.fr/cordage-de-peche-movline-coulant-30-m.html" TargetMode="External"/><Relationship Id="rId39" Type="http://schemas.openxmlformats.org/officeDocument/2006/relationships/hyperlink" Target="https://www.nootica.fr/bouee-plastimo-de-mouillage.html" TargetMode="External"/><Relationship Id="rId40" Type="http://schemas.openxmlformats.org/officeDocument/2006/relationships/hyperlink" Target="https://www.omc-stepperonline.com/e-series-nema-17-bipolar-26ncm-36-82oz-in-1-2a-42x42x30mm-4-wires-w-1m-cable-connector-17he12-1204s" TargetMode="External"/><Relationship Id="rId41" Type="http://schemas.openxmlformats.org/officeDocument/2006/relationships/hyperlink" Target="https://www.omc-stepperonline.com/eg-series-planetary-gearbox-gear-ratio-100-1-backlash-20-arc-min-for-nema-17-stepper-motor-eg17-g100" TargetMode="External"/><Relationship Id="rId42" Type="http://schemas.openxmlformats.org/officeDocument/2006/relationships/hyperlink" Target="https://www.omc-stepperonline.com/8mm-8mm-flexible-jaw-coupling-25x30mm-cnc-stepper-motor-shaft-coupler-mh2530-8-8" TargetMode="External"/><Relationship Id="rId43" Type="http://schemas.openxmlformats.org/officeDocument/2006/relationships/hyperlink" Target="https://www.arianeplast.com/fr/3d-filament-petg/2744-893-petg-blanc-anti-uv-3d-filament-arianeplast-fabrique-en-france.html" TargetMode="External"/><Relationship Id="rId44" Type="http://schemas.openxmlformats.org/officeDocument/2006/relationships/hyperlink" Target="https://www.bricovis.fr/produit-ecrou-hu-inox-a4-din-934-ecrhua4/" TargetMode="External"/><Relationship Id="rId45" Type="http://schemas.openxmlformats.org/officeDocument/2006/relationships/hyperlink" Target="https://www.bricovis.fr/produit-vis-a-tete-cylindrique-hexagonale-creuse-inox-a4-filetage-total-din-912-tchca4ef/" TargetMode="External"/><Relationship Id="rId46" Type="http://schemas.openxmlformats.org/officeDocument/2006/relationships/hyperlink" Target="https://www.bricovis.fr/produit-vis-a-tete-cylindrique-hexagonale-creuse-inox-a4-filetage-total-din-912-tchca4ef/" TargetMode="External"/><Relationship Id="rId47" Type="http://schemas.openxmlformats.org/officeDocument/2006/relationships/hyperlink" Target="https://www.bricovis.fr/produit-vis-a-tete-cylindrique-hexagonale-creuse-inox-a4-filetage-total-din-912-tchca4ef/" TargetMode="External"/><Relationship Id="rId48" Type="http://schemas.openxmlformats.org/officeDocument/2006/relationships/hyperlink" Target="https://www.bricovis.fr/produit-vis-a-tete-cylindrique-hexagonale-creuse-inox-a4-filetage-total-din-912-tchca4ef/" TargetMode="External"/><Relationship Id="rId49" Type="http://schemas.openxmlformats.org/officeDocument/2006/relationships/hyperlink" Target="https://www.bricovis.fr/produit-ecrou-a-ailette-inox-a4-ecraila4/" TargetMode="External"/><Relationship Id="rId50" Type="http://schemas.openxmlformats.org/officeDocument/2006/relationships/hyperlink" Target="https://www.bricovis.fr/produit-entretoise-hexagonale-male-femelle-laiton-nickele-entmlai/" TargetMode="External"/><Relationship Id="rId51" Type="http://schemas.openxmlformats.org/officeDocument/2006/relationships/hyperlink" Target="https://www.bricovis.fr/produit-vis-a-tete-cylindrique-hexagonale-creuse-inox-a4-filetage-total-din-912-tchca4ef/" TargetMode="External"/><Relationship Id="rId52" Type="http://schemas.openxmlformats.org/officeDocument/2006/relationships/hyperlink" Target="https://www.bricovis.fr/produit-vis-sans-tete-hexagonale-creuse-bout-pointeau-inox-a4-din-914-sthcptoa4/" TargetMode="External"/><Relationship Id="rId53" Type="http://schemas.openxmlformats.org/officeDocument/2006/relationships/hyperlink" Target="https://www.bricovis.fr/produit-vis-a-tete-cylindrique-hexagonale-creuse-inox-a4-filetage-total-din-912-tchca4ef/" TargetMode="External"/><Relationship Id="rId54" Type="http://schemas.openxmlformats.org/officeDocument/2006/relationships/hyperlink" Target="https://www.bricovis.fr/produit-vis-a-tete-cylindrique-hexagonale-creuse-inox-a4-filetage-total-din-912-tchca4ef/" TargetMode="External"/><Relationship Id="rId55" Type="http://schemas.openxmlformats.org/officeDocument/2006/relationships/hyperlink" Target="https://www.bricovis.fr/produit-vis-a-tete-hexagonale-inox-a4-filetage-total-din-933-tha4ef/" TargetMode="External"/><Relationship Id="rId56" Type="http://schemas.openxmlformats.org/officeDocument/2006/relationships/hyperlink" Target="https://www.bricovis.fr/produit-rondelle-ll-inox-a4-nfe-25513-ronlla4/" TargetMode="External"/><Relationship Id="rId57" Type="http://schemas.openxmlformats.org/officeDocument/2006/relationships/hyperlink" Target="https://www.bricovis.fr/produit-ecrou-nylstop-inox-a4-din-985-ecrnyla4/" TargetMode="External"/><Relationship Id="rId58" Type="http://schemas.openxmlformats.org/officeDocument/2006/relationships/hyperlink" Target="https://www.bricovis.fr/produit-ecrou-a-anneau-inox-a4-acca64631/" TargetMode="External"/><Relationship Id="rId59" Type="http://schemas.openxmlformats.org/officeDocument/2006/relationships/hyperlink" Target="https://www.bricovis.fr/produit-rondelle-ll-inox-a4-nfe-25513-ronlla4/" TargetMode="External"/><Relationship Id="rId60" Type="http://schemas.openxmlformats.org/officeDocument/2006/relationships/hyperlink" Target="https://www.bricovis.fr/produit-vis-a-tete-cylindrique-hexagonale-creuse-inox-a4-filetage-total-din-912-tchca4ef/" TargetMode="External"/><Relationship Id="rId61" Type="http://schemas.openxmlformats.org/officeDocument/2006/relationships/hyperlink" Target="https://www.bricovis.fr/produit-vis-a-tete-cylindrique-hexagonale-creuse-inox-a4-filetage-total-din-912-tchca4ef/" TargetMode="External"/><Relationship Id="rId62" Type="http://schemas.openxmlformats.org/officeDocument/2006/relationships/hyperlink" Target="https://www.bricovis.fr/produit-vis-a-tete-cylindrique-hexagonale-creuse-inox-a4-filetage-total-din-912-tchca4ef/" TargetMode="External"/><Relationship Id="rId63" Type="http://schemas.openxmlformats.org/officeDocument/2006/relationships/hyperlink" Target="https://fr.rs-online.com/web/p/mallettes-de-transport/063003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EY167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3" topLeftCell="A45" activePane="bottomLeft" state="frozen"/>
      <selection pane="topLeft" activeCell="A1" activeCellId="0" sqref="A1"/>
      <selection pane="bottomLeft" activeCell="J67" activeCellId="0" sqref="J67"/>
    </sheetView>
  </sheetViews>
  <sheetFormatPr defaultColWidth="10.6015625" defaultRowHeight="13.5" customHeight="true" zeroHeight="false" outlineLevelRow="0" outlineLevelCol="0"/>
  <cols>
    <col collapsed="false" customWidth="true" hidden="false" outlineLevel="0" max="1" min="1" style="1" width="19.4"/>
    <col collapsed="false" customWidth="true" hidden="false" outlineLevel="0" max="2" min="2" style="2" width="28.5"/>
    <col collapsed="false" customWidth="true" hidden="false" outlineLevel="0" max="3" min="3" style="3" width="34.5"/>
    <col collapsed="false" customWidth="true" hidden="false" outlineLevel="0" max="4" min="4" style="4" width="49.4"/>
    <col collapsed="false" customWidth="true" hidden="false" outlineLevel="0" max="5" min="5" style="2" width="18.6"/>
    <col collapsed="false" customWidth="true" hidden="false" outlineLevel="0" max="6" min="6" style="2" width="57.1"/>
    <col collapsed="false" customWidth="true" hidden="false" outlineLevel="0" max="7" min="7" style="1" width="12.7"/>
    <col collapsed="false" customWidth="true" hidden="false" outlineLevel="0" max="8" min="8" style="5" width="11.79"/>
    <col collapsed="false" customWidth="true" hidden="false" outlineLevel="0" max="9" min="9" style="5" width="14"/>
    <col collapsed="false" customWidth="true" hidden="false" outlineLevel="0" max="10" min="10" style="5" width="13.29"/>
    <col collapsed="false" customWidth="true" hidden="false" outlineLevel="0" max="11" min="11" style="2" width="16.5"/>
    <col collapsed="false" customWidth="true" hidden="false" outlineLevel="0" max="1013" min="12" style="3" width="10.7"/>
    <col collapsed="false" customWidth="false" hidden="false" outlineLevel="0" max="16373" min="1014" style="6" width="10.6"/>
    <col collapsed="false" customWidth="true" hidden="false" outlineLevel="0" max="16376" min="16374" style="3" width="10.7"/>
    <col collapsed="false" customWidth="true" hidden="false" outlineLevel="0" max="16377" min="16377" style="7" width="10.7"/>
    <col collapsed="false" customWidth="true" hidden="false" outlineLevel="0" max="16378" min="16378" style="6" width="10.5"/>
    <col collapsed="false" customWidth="true" hidden="false" outlineLevel="0" max="16384" min="16379" style="7" width="10.5"/>
  </cols>
  <sheetData>
    <row r="1" customFormat="false" ht="39.75" hidden="false" customHeight="true" outlineLevel="0" collapsed="false">
      <c r="A1" s="8" t="s">
        <v>0</v>
      </c>
      <c r="B1" s="9" t="n">
        <f aca="true">TODAY()</f>
        <v>46315</v>
      </c>
      <c r="C1" s="10"/>
      <c r="D1" s="10"/>
      <c r="F1" s="11" t="s">
        <v>1</v>
      </c>
      <c r="G1" s="12"/>
      <c r="H1" s="13"/>
      <c r="I1" s="14"/>
    </row>
    <row r="2" customFormat="false" ht="19.5" hidden="false" customHeight="true" outlineLevel="0" collapsed="false"/>
    <row r="3" s="18" customFormat="true" ht="62.25" hidden="false" customHeight="true" outlineLevel="0" collapsed="false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6" t="s">
        <v>9</v>
      </c>
      <c r="I3" s="16" t="s">
        <v>10</v>
      </c>
      <c r="J3" s="16" t="s">
        <v>11</v>
      </c>
      <c r="K3" s="17"/>
      <c r="XEW3" s="7"/>
      <c r="XEX3" s="19"/>
      <c r="XEY3" s="7"/>
    </row>
    <row r="4" s="24" customFormat="true" ht="19.5" hidden="false" customHeight="true" outlineLevel="0" collapsed="false">
      <c r="A4" s="20" t="s">
        <v>12</v>
      </c>
      <c r="B4" s="21"/>
      <c r="C4" s="21"/>
      <c r="D4" s="21"/>
      <c r="E4" s="21"/>
      <c r="F4" s="21"/>
      <c r="G4" s="21"/>
      <c r="H4" s="22"/>
      <c r="I4" s="22"/>
      <c r="J4" s="22"/>
      <c r="K4" s="23"/>
      <c r="XEW4" s="25"/>
      <c r="XEX4" s="26"/>
      <c r="XEY4" s="25"/>
    </row>
    <row r="5" s="1" customFormat="true" ht="19.5" hidden="false" customHeight="true" outlineLevel="0" collapsed="false">
      <c r="A5" s="27" t="s">
        <v>13</v>
      </c>
      <c r="B5" s="28" t="s">
        <v>14</v>
      </c>
      <c r="C5" s="29" t="s">
        <v>15</v>
      </c>
      <c r="D5" s="30" t="s">
        <v>16</v>
      </c>
      <c r="E5" s="31" t="s">
        <v>17</v>
      </c>
      <c r="F5" s="32" t="s">
        <v>18</v>
      </c>
      <c r="G5" s="33" t="n">
        <v>1</v>
      </c>
      <c r="H5" s="34" t="n">
        <v>69.67</v>
      </c>
      <c r="I5" s="34" t="n">
        <v>83.6</v>
      </c>
      <c r="J5" s="34" t="n">
        <f aca="false">G5*I5</f>
        <v>83.6</v>
      </c>
      <c r="K5" s="4"/>
      <c r="XEW5" s="7"/>
      <c r="XEX5" s="6"/>
      <c r="XEY5" s="7"/>
    </row>
    <row r="6" s="37" customFormat="true" ht="19.5" hidden="false" customHeight="true" outlineLevel="0" collapsed="false">
      <c r="A6" s="27" t="s">
        <v>13</v>
      </c>
      <c r="B6" s="28" t="s">
        <v>14</v>
      </c>
      <c r="C6" s="35" t="s">
        <v>19</v>
      </c>
      <c r="D6" s="30" t="s">
        <v>20</v>
      </c>
      <c r="E6" s="31" t="n">
        <v>38644</v>
      </c>
      <c r="F6" s="32" t="s">
        <v>21</v>
      </c>
      <c r="G6" s="33" t="n">
        <v>1</v>
      </c>
      <c r="H6" s="36" t="n">
        <v>5.75</v>
      </c>
      <c r="I6" s="34" t="n">
        <v>6.9</v>
      </c>
      <c r="J6" s="34" t="n">
        <f aca="false">G6*I6</f>
        <v>6.9</v>
      </c>
      <c r="K6" s="4"/>
      <c r="XEW6" s="7"/>
      <c r="XEX6" s="6"/>
      <c r="XEY6" s="7"/>
    </row>
    <row r="7" s="37" customFormat="true" ht="19.5" hidden="false" customHeight="true" outlineLevel="0" collapsed="false">
      <c r="A7" s="27" t="s">
        <v>13</v>
      </c>
      <c r="B7" s="28" t="s">
        <v>14</v>
      </c>
      <c r="C7" s="35" t="s">
        <v>22</v>
      </c>
      <c r="D7" s="30" t="s">
        <v>23</v>
      </c>
      <c r="E7" s="31" t="n">
        <v>11937</v>
      </c>
      <c r="F7" s="32" t="s">
        <v>24</v>
      </c>
      <c r="G7" s="33" t="n">
        <v>1</v>
      </c>
      <c r="H7" s="34" t="n">
        <v>1.25</v>
      </c>
      <c r="I7" s="34" t="n">
        <v>1.5</v>
      </c>
      <c r="J7" s="34" t="n">
        <f aca="false">G7*I7</f>
        <v>1.5</v>
      </c>
      <c r="K7" s="4"/>
      <c r="XEW7" s="7"/>
      <c r="XEX7" s="6"/>
      <c r="XEY7" s="7"/>
    </row>
    <row r="8" s="42" customFormat="true" ht="19.5" hidden="false" customHeight="true" outlineLevel="0" collapsed="false">
      <c r="A8" s="27" t="s">
        <v>13</v>
      </c>
      <c r="B8" s="28" t="s">
        <v>14</v>
      </c>
      <c r="C8" s="38" t="s">
        <v>25</v>
      </c>
      <c r="D8" s="39" t="s">
        <v>26</v>
      </c>
      <c r="E8" s="31" t="s">
        <v>27</v>
      </c>
      <c r="F8" s="32" t="s">
        <v>28</v>
      </c>
      <c r="G8" s="40" t="n">
        <v>1</v>
      </c>
      <c r="H8" s="41" t="n">
        <v>58.25</v>
      </c>
      <c r="I8" s="41" t="n">
        <v>69.9</v>
      </c>
      <c r="J8" s="34" t="n">
        <f aca="false">G8*I8</f>
        <v>69.9</v>
      </c>
      <c r="K8" s="4"/>
      <c r="XEY8" s="7"/>
    </row>
    <row r="9" s="1" customFormat="true" ht="19.5" hidden="false" customHeight="true" outlineLevel="0" collapsed="false">
      <c r="A9" s="27" t="s">
        <v>13</v>
      </c>
      <c r="B9" s="28" t="s">
        <v>14</v>
      </c>
      <c r="C9" s="35" t="s">
        <v>29</v>
      </c>
      <c r="D9" s="30" t="s">
        <v>30</v>
      </c>
      <c r="E9" s="31" t="s">
        <v>31</v>
      </c>
      <c r="F9" s="32" t="s">
        <v>32</v>
      </c>
      <c r="G9" s="33" t="n">
        <v>1</v>
      </c>
      <c r="H9" s="34" t="n">
        <v>2</v>
      </c>
      <c r="I9" s="34" t="n">
        <v>2.4</v>
      </c>
      <c r="J9" s="34" t="n">
        <f aca="false">G9*I9</f>
        <v>2.4</v>
      </c>
      <c r="K9" s="4"/>
      <c r="XEW9" s="7"/>
      <c r="XEX9" s="6"/>
      <c r="XEY9" s="7"/>
    </row>
    <row r="10" s="37" customFormat="true" ht="19.5" hidden="false" customHeight="true" outlineLevel="0" collapsed="false">
      <c r="A10" s="27" t="s">
        <v>13</v>
      </c>
      <c r="B10" s="28" t="s">
        <v>33</v>
      </c>
      <c r="C10" s="29" t="s">
        <v>34</v>
      </c>
      <c r="D10" s="30" t="s">
        <v>35</v>
      </c>
      <c r="E10" s="31" t="n">
        <v>36973</v>
      </c>
      <c r="F10" s="43" t="s">
        <v>36</v>
      </c>
      <c r="G10" s="33" t="n">
        <v>1</v>
      </c>
      <c r="H10" s="34" t="n">
        <v>16.58</v>
      </c>
      <c r="I10" s="34" t="n">
        <v>19.9</v>
      </c>
      <c r="J10" s="34" t="n">
        <f aca="false">G10*I10</f>
        <v>19.9</v>
      </c>
      <c r="K10" s="4"/>
      <c r="XEW10" s="7"/>
      <c r="XEX10" s="6"/>
      <c r="XEY10" s="7"/>
    </row>
    <row r="11" s="1" customFormat="true" ht="19.5" hidden="false" customHeight="true" outlineLevel="0" collapsed="false">
      <c r="A11" s="27" t="s">
        <v>13</v>
      </c>
      <c r="B11" s="28" t="s">
        <v>33</v>
      </c>
      <c r="C11" s="44" t="s">
        <v>37</v>
      </c>
      <c r="D11" s="30" t="s">
        <v>38</v>
      </c>
      <c r="E11" s="31" t="s">
        <v>39</v>
      </c>
      <c r="F11" s="32" t="s">
        <v>40</v>
      </c>
      <c r="G11" s="33" t="n">
        <v>1</v>
      </c>
      <c r="H11" s="34" t="n">
        <v>9.12</v>
      </c>
      <c r="I11" s="34" t="n">
        <v>10.95</v>
      </c>
      <c r="J11" s="34" t="n">
        <f aca="false">G11*I11</f>
        <v>10.95</v>
      </c>
      <c r="K11" s="4"/>
      <c r="XEW11" s="7"/>
      <c r="XEX11" s="6"/>
      <c r="XEY11" s="7"/>
    </row>
    <row r="12" s="1" customFormat="true" ht="19.5" hidden="false" customHeight="true" outlineLevel="0" collapsed="false">
      <c r="A12" s="27" t="s">
        <v>13</v>
      </c>
      <c r="B12" s="28" t="s">
        <v>33</v>
      </c>
      <c r="C12" s="44" t="s">
        <v>41</v>
      </c>
      <c r="D12" s="30" t="s">
        <v>42</v>
      </c>
      <c r="E12" s="31" t="s">
        <v>43</v>
      </c>
      <c r="F12" s="32" t="s">
        <v>44</v>
      </c>
      <c r="G12" s="33" t="n">
        <v>1</v>
      </c>
      <c r="H12" s="34" t="n">
        <v>6.92</v>
      </c>
      <c r="I12" s="34" t="n">
        <v>8.3</v>
      </c>
      <c r="J12" s="34" t="n">
        <f aca="false">G12*I12</f>
        <v>8.3</v>
      </c>
      <c r="K12" s="4"/>
      <c r="XEW12" s="7"/>
      <c r="XEX12" s="6"/>
      <c r="XEY12" s="7"/>
    </row>
    <row r="13" s="1" customFormat="true" ht="19.5" hidden="false" customHeight="true" outlineLevel="0" collapsed="false">
      <c r="A13" s="27" t="s">
        <v>13</v>
      </c>
      <c r="B13" s="28" t="s">
        <v>33</v>
      </c>
      <c r="C13" s="35" t="s">
        <v>45</v>
      </c>
      <c r="D13" s="30" t="s">
        <v>46</v>
      </c>
      <c r="E13" s="31" t="s">
        <v>47</v>
      </c>
      <c r="F13" s="32" t="s">
        <v>48</v>
      </c>
      <c r="G13" s="33" t="n">
        <v>1</v>
      </c>
      <c r="H13" s="45" t="n">
        <v>2.42</v>
      </c>
      <c r="I13" s="34" t="n">
        <v>2.9</v>
      </c>
      <c r="J13" s="34" t="n">
        <f aca="false">G13*I13</f>
        <v>2.9</v>
      </c>
      <c r="K13" s="4"/>
      <c r="XET13" s="6"/>
      <c r="XEU13" s="6"/>
      <c r="XEV13" s="6"/>
      <c r="XEW13" s="7"/>
      <c r="XEX13" s="6"/>
      <c r="XEY13" s="7"/>
    </row>
    <row r="14" s="37" customFormat="true" ht="19.5" hidden="false" customHeight="true" outlineLevel="0" collapsed="false">
      <c r="A14" s="27" t="s">
        <v>13</v>
      </c>
      <c r="B14" s="28" t="s">
        <v>49</v>
      </c>
      <c r="C14" s="29" t="s">
        <v>50</v>
      </c>
      <c r="D14" s="30" t="s">
        <v>51</v>
      </c>
      <c r="E14" s="31" t="n">
        <v>48948</v>
      </c>
      <c r="F14" s="30" t="s">
        <v>52</v>
      </c>
      <c r="G14" s="33" t="n">
        <v>2</v>
      </c>
      <c r="H14" s="34" t="n">
        <v>0.21</v>
      </c>
      <c r="I14" s="34" t="n">
        <v>0.25</v>
      </c>
      <c r="J14" s="34" t="n">
        <f aca="false">G14*I14</f>
        <v>0.5</v>
      </c>
      <c r="K14" s="4"/>
      <c r="XEW14" s="7"/>
      <c r="XEX14" s="6"/>
      <c r="XEY14" s="7"/>
    </row>
    <row r="15" s="37" customFormat="true" ht="19.5" hidden="false" customHeight="true" outlineLevel="0" collapsed="false">
      <c r="A15" s="27" t="s">
        <v>13</v>
      </c>
      <c r="B15" s="28" t="s">
        <v>33</v>
      </c>
      <c r="C15" s="29" t="s">
        <v>53</v>
      </c>
      <c r="D15" s="30" t="s">
        <v>54</v>
      </c>
      <c r="E15" s="31" t="s">
        <v>55</v>
      </c>
      <c r="F15" s="32" t="s">
        <v>56</v>
      </c>
      <c r="G15" s="33" t="n">
        <v>1</v>
      </c>
      <c r="H15" s="34" t="n">
        <v>3.79</v>
      </c>
      <c r="I15" s="34" t="n">
        <v>4.55</v>
      </c>
      <c r="J15" s="34" t="n">
        <f aca="false">G15*I15</f>
        <v>4.55</v>
      </c>
      <c r="K15" s="4"/>
      <c r="XEW15" s="7"/>
      <c r="XEX15" s="6"/>
      <c r="XEY15" s="7"/>
    </row>
    <row r="16" s="37" customFormat="true" ht="19.5" hidden="false" customHeight="true" outlineLevel="0" collapsed="false">
      <c r="A16" s="27" t="s">
        <v>13</v>
      </c>
      <c r="B16" s="28" t="s">
        <v>57</v>
      </c>
      <c r="C16" s="29" t="s">
        <v>58</v>
      </c>
      <c r="D16" s="30" t="s">
        <v>59</v>
      </c>
      <c r="E16" s="31" t="s">
        <v>60</v>
      </c>
      <c r="F16" s="30" t="s">
        <v>61</v>
      </c>
      <c r="G16" s="33" t="n">
        <v>2</v>
      </c>
      <c r="H16" s="34" t="n">
        <v>0.42</v>
      </c>
      <c r="I16" s="34" t="n">
        <v>0.5</v>
      </c>
      <c r="J16" s="34" t="n">
        <v>1.01</v>
      </c>
      <c r="K16" s="4"/>
      <c r="XEW16" s="7"/>
      <c r="XEX16" s="6"/>
      <c r="XEY16" s="7"/>
    </row>
    <row r="17" s="37" customFormat="true" ht="19.5" hidden="false" customHeight="true" outlineLevel="0" collapsed="false">
      <c r="A17" s="27" t="s">
        <v>13</v>
      </c>
      <c r="B17" s="28" t="s">
        <v>57</v>
      </c>
      <c r="C17" s="29" t="s">
        <v>62</v>
      </c>
      <c r="D17" s="30" t="s">
        <v>63</v>
      </c>
      <c r="E17" s="31" t="s">
        <v>64</v>
      </c>
      <c r="F17" s="30" t="s">
        <v>65</v>
      </c>
      <c r="G17" s="33" t="n">
        <v>2</v>
      </c>
      <c r="H17" s="34" t="n">
        <v>0.42</v>
      </c>
      <c r="I17" s="34" t="n">
        <v>0.5</v>
      </c>
      <c r="J17" s="34" t="n">
        <v>1.01</v>
      </c>
      <c r="K17" s="4"/>
      <c r="XEW17" s="7"/>
      <c r="XEX17" s="6"/>
      <c r="XEY17" s="7"/>
    </row>
    <row r="18" s="37" customFormat="true" ht="19.5" hidden="false" customHeight="true" outlineLevel="0" collapsed="false">
      <c r="A18" s="27" t="s">
        <v>13</v>
      </c>
      <c r="B18" s="28" t="s">
        <v>57</v>
      </c>
      <c r="C18" s="29" t="s">
        <v>66</v>
      </c>
      <c r="D18" s="30" t="s">
        <v>67</v>
      </c>
      <c r="E18" s="31" t="s">
        <v>68</v>
      </c>
      <c r="F18" s="30" t="s">
        <v>69</v>
      </c>
      <c r="G18" s="33" t="n">
        <v>1</v>
      </c>
      <c r="H18" s="34" t="n">
        <v>0.17</v>
      </c>
      <c r="I18" s="34" t="n">
        <v>0.2</v>
      </c>
      <c r="J18" s="34" t="n">
        <v>0.2</v>
      </c>
      <c r="K18" s="4"/>
      <c r="XEW18" s="7"/>
      <c r="XEX18" s="6"/>
      <c r="XEY18" s="7"/>
    </row>
    <row r="19" s="37" customFormat="true" ht="19.5" hidden="false" customHeight="true" outlineLevel="0" collapsed="false">
      <c r="A19" s="27" t="s">
        <v>13</v>
      </c>
      <c r="B19" s="28" t="s">
        <v>33</v>
      </c>
      <c r="C19" s="29" t="s">
        <v>70</v>
      </c>
      <c r="D19" s="30" t="s">
        <v>71</v>
      </c>
      <c r="E19" s="31" t="s">
        <v>72</v>
      </c>
      <c r="F19" s="32" t="s">
        <v>73</v>
      </c>
      <c r="G19" s="33" t="n">
        <v>1</v>
      </c>
      <c r="H19" s="34" t="n">
        <v>0.25</v>
      </c>
      <c r="I19" s="34" t="n">
        <v>0.3</v>
      </c>
      <c r="J19" s="34" t="n">
        <f aca="false">G19*I19</f>
        <v>0.3</v>
      </c>
      <c r="K19" s="4"/>
      <c r="XEW19" s="7"/>
      <c r="XEX19" s="6"/>
      <c r="XEY19" s="7"/>
    </row>
    <row r="20" s="1" customFormat="true" ht="19.5" hidden="false" customHeight="true" outlineLevel="0" collapsed="false">
      <c r="A20" s="27" t="s">
        <v>13</v>
      </c>
      <c r="B20" s="28" t="s">
        <v>74</v>
      </c>
      <c r="C20" s="35" t="s">
        <v>75</v>
      </c>
      <c r="D20" s="30" t="s">
        <v>76</v>
      </c>
      <c r="E20" s="31" t="s">
        <v>77</v>
      </c>
      <c r="F20" s="32" t="s">
        <v>78</v>
      </c>
      <c r="G20" s="33" t="n">
        <v>1</v>
      </c>
      <c r="H20" s="45" t="n">
        <v>2.08</v>
      </c>
      <c r="I20" s="34" t="n">
        <v>2.5</v>
      </c>
      <c r="J20" s="34" t="n">
        <f aca="false">G20*I20</f>
        <v>2.5</v>
      </c>
      <c r="K20" s="4"/>
      <c r="XET20" s="6"/>
      <c r="XEU20" s="6"/>
      <c r="XEV20" s="6"/>
      <c r="XEW20" s="7"/>
      <c r="XEX20" s="6"/>
      <c r="XEY20" s="7"/>
    </row>
    <row r="21" s="1" customFormat="true" ht="19.5" hidden="false" customHeight="true" outlineLevel="0" collapsed="false">
      <c r="A21" s="27" t="s">
        <v>13</v>
      </c>
      <c r="B21" s="28" t="s">
        <v>79</v>
      </c>
      <c r="C21" s="29" t="s">
        <v>80</v>
      </c>
      <c r="D21" s="30" t="s">
        <v>81</v>
      </c>
      <c r="E21" s="31" t="s">
        <v>82</v>
      </c>
      <c r="F21" s="30" t="s">
        <v>83</v>
      </c>
      <c r="G21" s="33" t="n">
        <v>2</v>
      </c>
      <c r="H21" s="34" t="n">
        <v>1.21</v>
      </c>
      <c r="I21" s="34" t="n">
        <v>1.45</v>
      </c>
      <c r="J21" s="34" t="n">
        <v>2.9</v>
      </c>
      <c r="K21" s="4"/>
      <c r="XEW21" s="7"/>
      <c r="XEX21" s="6"/>
      <c r="XEY21" s="7"/>
    </row>
    <row r="22" s="1" customFormat="true" ht="19.5" hidden="false" customHeight="true" outlineLevel="0" collapsed="false">
      <c r="A22" s="27" t="s">
        <v>13</v>
      </c>
      <c r="B22" s="28" t="s">
        <v>79</v>
      </c>
      <c r="C22" s="29" t="s">
        <v>84</v>
      </c>
      <c r="D22" s="30" t="s">
        <v>85</v>
      </c>
      <c r="E22" s="31" t="s">
        <v>86</v>
      </c>
      <c r="F22" s="30" t="s">
        <v>87</v>
      </c>
      <c r="G22" s="33" t="n">
        <v>2</v>
      </c>
      <c r="H22" s="34" t="n">
        <v>0.62</v>
      </c>
      <c r="I22" s="34" t="n">
        <v>0.74</v>
      </c>
      <c r="J22" s="34" t="n">
        <v>1.49</v>
      </c>
      <c r="K22" s="4"/>
      <c r="XEW22" s="7"/>
      <c r="XEX22" s="6"/>
      <c r="XEY22" s="7"/>
    </row>
    <row r="23" s="1" customFormat="true" ht="19.5" hidden="false" customHeight="true" outlineLevel="0" collapsed="false">
      <c r="A23" s="27" t="s">
        <v>13</v>
      </c>
      <c r="B23" s="28" t="s">
        <v>79</v>
      </c>
      <c r="C23" s="29" t="s">
        <v>88</v>
      </c>
      <c r="D23" s="30" t="s">
        <v>89</v>
      </c>
      <c r="E23" s="31" t="s">
        <v>90</v>
      </c>
      <c r="F23" s="30" t="s">
        <v>91</v>
      </c>
      <c r="G23" s="33" t="n">
        <v>1</v>
      </c>
      <c r="H23" s="34" t="n">
        <v>0.42</v>
      </c>
      <c r="I23" s="34" t="n">
        <v>0.5</v>
      </c>
      <c r="J23" s="34" t="n">
        <v>0.5</v>
      </c>
      <c r="K23" s="4"/>
      <c r="XEW23" s="7"/>
      <c r="XEX23" s="6"/>
      <c r="XEY23" s="7"/>
    </row>
    <row r="24" s="1" customFormat="true" ht="19.5" hidden="false" customHeight="true" outlineLevel="0" collapsed="false">
      <c r="A24" s="27" t="s">
        <v>13</v>
      </c>
      <c r="B24" s="28" t="s">
        <v>79</v>
      </c>
      <c r="C24" s="29" t="s">
        <v>92</v>
      </c>
      <c r="D24" s="30" t="s">
        <v>93</v>
      </c>
      <c r="E24" s="31" t="s">
        <v>94</v>
      </c>
      <c r="F24" s="30" t="s">
        <v>95</v>
      </c>
      <c r="G24" s="33" t="n">
        <v>1</v>
      </c>
      <c r="H24" s="34" t="n">
        <v>21.25</v>
      </c>
      <c r="I24" s="34" t="n">
        <v>25.5</v>
      </c>
      <c r="J24" s="34" t="n">
        <v>25.5</v>
      </c>
      <c r="K24" s="4"/>
      <c r="XEW24" s="7"/>
      <c r="XEX24" s="6"/>
      <c r="XEY24" s="7"/>
    </row>
    <row r="25" s="1" customFormat="true" ht="19.5" hidden="false" customHeight="true" outlineLevel="0" collapsed="false">
      <c r="A25" s="27" t="s">
        <v>13</v>
      </c>
      <c r="B25" s="28" t="s">
        <v>79</v>
      </c>
      <c r="C25" s="29" t="s">
        <v>96</v>
      </c>
      <c r="D25" s="30" t="s">
        <v>97</v>
      </c>
      <c r="E25" s="31" t="s">
        <v>98</v>
      </c>
      <c r="F25" s="30" t="s">
        <v>99</v>
      </c>
      <c r="G25" s="33" t="n">
        <v>1</v>
      </c>
      <c r="H25" s="34" t="n">
        <v>0.17</v>
      </c>
      <c r="I25" s="34" t="n">
        <v>0.2</v>
      </c>
      <c r="J25" s="34" t="n">
        <v>0.2</v>
      </c>
      <c r="K25" s="4"/>
      <c r="XEW25" s="7"/>
      <c r="XEX25" s="6"/>
      <c r="XEY25" s="7"/>
    </row>
    <row r="26" s="1" customFormat="true" ht="19.5" hidden="false" customHeight="true" outlineLevel="0" collapsed="false">
      <c r="A26" s="27" t="s">
        <v>13</v>
      </c>
      <c r="B26" s="28" t="s">
        <v>79</v>
      </c>
      <c r="C26" s="29" t="s">
        <v>100</v>
      </c>
      <c r="D26" s="30" t="s">
        <v>101</v>
      </c>
      <c r="E26" s="31" t="s">
        <v>102</v>
      </c>
      <c r="F26" s="30" t="s">
        <v>103</v>
      </c>
      <c r="G26" s="33" t="n">
        <v>1</v>
      </c>
      <c r="H26" s="34" t="n">
        <v>0.58</v>
      </c>
      <c r="I26" s="34" t="n">
        <v>0.7</v>
      </c>
      <c r="J26" s="34" t="n">
        <v>0.7</v>
      </c>
      <c r="K26" s="4"/>
      <c r="XEW26" s="7"/>
      <c r="XEX26" s="6"/>
      <c r="XEY26" s="7"/>
    </row>
    <row r="27" s="1" customFormat="true" ht="19.5" hidden="false" customHeight="true" outlineLevel="0" collapsed="false">
      <c r="A27" s="46" t="s">
        <v>13</v>
      </c>
      <c r="B27" s="47" t="s">
        <v>79</v>
      </c>
      <c r="C27" s="48" t="s">
        <v>104</v>
      </c>
      <c r="D27" s="49" t="s">
        <v>105</v>
      </c>
      <c r="E27" s="50" t="s">
        <v>106</v>
      </c>
      <c r="F27" s="49" t="s">
        <v>107</v>
      </c>
      <c r="G27" s="51" t="n">
        <v>1</v>
      </c>
      <c r="H27" s="52" t="n">
        <v>14.08</v>
      </c>
      <c r="I27" s="52" t="n">
        <f aca="false">H27*1.2</f>
        <v>16.896</v>
      </c>
      <c r="J27" s="52" t="n">
        <f aca="false">G27*I27</f>
        <v>16.896</v>
      </c>
      <c r="K27" s="4"/>
      <c r="XEW27" s="7"/>
      <c r="XEX27" s="6"/>
      <c r="XEY27" s="7"/>
    </row>
    <row r="28" s="1" customFormat="true" ht="19.5" hidden="false" customHeight="true" outlineLevel="0" collapsed="false">
      <c r="A28" s="46" t="s">
        <v>13</v>
      </c>
      <c r="B28" s="47" t="s">
        <v>108</v>
      </c>
      <c r="C28" s="53" t="s">
        <v>109</v>
      </c>
      <c r="D28" s="49" t="s">
        <v>110</v>
      </c>
      <c r="E28" s="50" t="s">
        <v>111</v>
      </c>
      <c r="F28" s="54" t="s">
        <v>112</v>
      </c>
      <c r="G28" s="51" t="n">
        <v>1</v>
      </c>
      <c r="H28" s="52" t="n">
        <v>0.46</v>
      </c>
      <c r="I28" s="52" t="n">
        <f aca="false">H28*1.2</f>
        <v>0.552</v>
      </c>
      <c r="J28" s="52" t="n">
        <f aca="false">G28*I28</f>
        <v>0.552</v>
      </c>
      <c r="K28" s="4"/>
      <c r="XEW28" s="7"/>
      <c r="XEX28" s="6"/>
      <c r="XEY28" s="7"/>
    </row>
    <row r="29" s="1" customFormat="true" ht="19.5" hidden="false" customHeight="true" outlineLevel="0" collapsed="false">
      <c r="A29" s="46" t="s">
        <v>13</v>
      </c>
      <c r="B29" s="47" t="s">
        <v>108</v>
      </c>
      <c r="C29" s="53" t="s">
        <v>113</v>
      </c>
      <c r="D29" s="49" t="s">
        <v>114</v>
      </c>
      <c r="E29" s="50" t="s">
        <v>115</v>
      </c>
      <c r="F29" s="54" t="s">
        <v>116</v>
      </c>
      <c r="G29" s="51" t="n">
        <v>1</v>
      </c>
      <c r="H29" s="52" t="n">
        <v>0.46</v>
      </c>
      <c r="I29" s="52" t="n">
        <f aca="false">H29*1.2</f>
        <v>0.552</v>
      </c>
      <c r="J29" s="52" t="n">
        <f aca="false">G29*I29</f>
        <v>0.552</v>
      </c>
      <c r="K29" s="4"/>
      <c r="XEW29" s="7"/>
      <c r="XEX29" s="6"/>
      <c r="XEY29" s="7"/>
    </row>
    <row r="30" s="1" customFormat="true" ht="19.5" hidden="false" customHeight="true" outlineLevel="0" collapsed="false">
      <c r="A30" s="27" t="s">
        <v>13</v>
      </c>
      <c r="B30" s="28" t="s">
        <v>117</v>
      </c>
      <c r="C30" s="44" t="s">
        <v>118</v>
      </c>
      <c r="D30" s="30" t="s">
        <v>119</v>
      </c>
      <c r="E30" s="31" t="n">
        <v>11356</v>
      </c>
      <c r="F30" s="32" t="s">
        <v>120</v>
      </c>
      <c r="G30" s="33" t="n">
        <v>1</v>
      </c>
      <c r="H30" s="34" t="n">
        <v>1.92</v>
      </c>
      <c r="I30" s="34" t="n">
        <v>2.3</v>
      </c>
      <c r="J30" s="34" t="n">
        <f aca="false">G30*I30</f>
        <v>2.3</v>
      </c>
      <c r="K30" s="4"/>
      <c r="XEW30" s="7"/>
      <c r="XEX30" s="6"/>
      <c r="XEY30" s="7"/>
    </row>
    <row r="31" s="1" customFormat="true" ht="19.5" hidden="false" customHeight="true" outlineLevel="0" collapsed="false">
      <c r="A31" s="27" t="s">
        <v>13</v>
      </c>
      <c r="B31" s="28" t="s">
        <v>108</v>
      </c>
      <c r="C31" s="29" t="s">
        <v>121</v>
      </c>
      <c r="D31" s="30" t="s">
        <v>122</v>
      </c>
      <c r="E31" s="31" t="n">
        <v>48918</v>
      </c>
      <c r="F31" s="28" t="s">
        <v>123</v>
      </c>
      <c r="G31" s="33" t="n">
        <v>1</v>
      </c>
      <c r="H31" s="34" t="n">
        <v>1.83</v>
      </c>
      <c r="I31" s="34" t="n">
        <v>2.2</v>
      </c>
      <c r="J31" s="34" t="n">
        <f aca="false">G31*I31</f>
        <v>2.2</v>
      </c>
      <c r="K31" s="4"/>
      <c r="XEW31" s="7"/>
      <c r="XEX31" s="6"/>
      <c r="XEY31" s="7"/>
    </row>
    <row r="32" s="1" customFormat="true" ht="19.5" hidden="false" customHeight="true" outlineLevel="0" collapsed="false">
      <c r="A32" s="27" t="s">
        <v>13</v>
      </c>
      <c r="B32" s="28" t="s">
        <v>124</v>
      </c>
      <c r="C32" s="29" t="s">
        <v>125</v>
      </c>
      <c r="D32" s="30" t="s">
        <v>126</v>
      </c>
      <c r="E32" s="31" t="s">
        <v>127</v>
      </c>
      <c r="F32" s="32" t="s">
        <v>128</v>
      </c>
      <c r="G32" s="33" t="n">
        <v>1</v>
      </c>
      <c r="H32" s="34" t="n">
        <v>0.79</v>
      </c>
      <c r="I32" s="34" t="n">
        <v>0.95</v>
      </c>
      <c r="J32" s="34" t="n">
        <f aca="false">G32*I32</f>
        <v>0.95</v>
      </c>
      <c r="K32" s="4"/>
      <c r="XEW32" s="7"/>
      <c r="XEX32" s="6"/>
      <c r="XEY32" s="7"/>
    </row>
    <row r="33" s="1" customFormat="true" ht="19.5" hidden="false" customHeight="true" outlineLevel="0" collapsed="false">
      <c r="A33" s="27" t="s">
        <v>13</v>
      </c>
      <c r="B33" s="28" t="s">
        <v>124</v>
      </c>
      <c r="C33" s="29" t="s">
        <v>129</v>
      </c>
      <c r="D33" s="30" t="s">
        <v>130</v>
      </c>
      <c r="E33" s="31" t="s">
        <v>131</v>
      </c>
      <c r="F33" s="32" t="s">
        <v>132</v>
      </c>
      <c r="G33" s="33" t="n">
        <v>1</v>
      </c>
      <c r="H33" s="34" t="n">
        <v>0.79</v>
      </c>
      <c r="I33" s="34" t="n">
        <v>0.95</v>
      </c>
      <c r="J33" s="34" t="n">
        <f aca="false">G33*I33</f>
        <v>0.95</v>
      </c>
      <c r="K33" s="4"/>
      <c r="XEW33" s="7"/>
      <c r="XEX33" s="6"/>
      <c r="XEY33" s="7"/>
    </row>
    <row r="34" s="1" customFormat="true" ht="19.5" hidden="false" customHeight="true" outlineLevel="0" collapsed="false">
      <c r="A34" s="27" t="s">
        <v>13</v>
      </c>
      <c r="B34" s="28" t="s">
        <v>124</v>
      </c>
      <c r="C34" s="29" t="s">
        <v>133</v>
      </c>
      <c r="D34" s="30" t="s">
        <v>134</v>
      </c>
      <c r="E34" s="31" t="s">
        <v>135</v>
      </c>
      <c r="F34" s="32" t="s">
        <v>136</v>
      </c>
      <c r="G34" s="33" t="n">
        <v>1</v>
      </c>
      <c r="H34" s="34" t="n">
        <v>3.92</v>
      </c>
      <c r="I34" s="34" t="n">
        <v>4.7</v>
      </c>
      <c r="J34" s="34" t="n">
        <f aca="false">G34*I34</f>
        <v>4.7</v>
      </c>
      <c r="K34" s="4"/>
      <c r="XEW34" s="7"/>
      <c r="XEX34" s="6"/>
      <c r="XEY34" s="7"/>
    </row>
    <row r="35" s="1" customFormat="true" ht="19.5" hidden="false" customHeight="true" outlineLevel="0" collapsed="false">
      <c r="A35" s="27" t="s">
        <v>13</v>
      </c>
      <c r="B35" s="28" t="s">
        <v>124</v>
      </c>
      <c r="C35" s="29" t="s">
        <v>137</v>
      </c>
      <c r="D35" s="30" t="s">
        <v>138</v>
      </c>
      <c r="E35" s="31" t="s">
        <v>139</v>
      </c>
      <c r="F35" s="32" t="s">
        <v>140</v>
      </c>
      <c r="G35" s="33" t="n">
        <v>1</v>
      </c>
      <c r="H35" s="34" t="n">
        <v>3.92</v>
      </c>
      <c r="I35" s="34" t="n">
        <v>4.7</v>
      </c>
      <c r="J35" s="34" t="n">
        <f aca="false">G35*I35</f>
        <v>4.7</v>
      </c>
      <c r="K35" s="4"/>
      <c r="XEW35" s="7"/>
      <c r="XEX35" s="6"/>
      <c r="XEY35" s="7"/>
    </row>
    <row r="36" s="1" customFormat="true" ht="19.5" hidden="false" customHeight="true" outlineLevel="0" collapsed="false">
      <c r="A36" s="27" t="s">
        <v>13</v>
      </c>
      <c r="B36" s="28" t="s">
        <v>124</v>
      </c>
      <c r="C36" s="29" t="s">
        <v>141</v>
      </c>
      <c r="D36" s="30" t="s">
        <v>142</v>
      </c>
      <c r="E36" s="31" t="s">
        <v>143</v>
      </c>
      <c r="F36" s="32" t="s">
        <v>144</v>
      </c>
      <c r="G36" s="33" t="n">
        <v>1</v>
      </c>
      <c r="H36" s="34" t="n">
        <v>0.96</v>
      </c>
      <c r="I36" s="34" t="n">
        <v>1.15</v>
      </c>
      <c r="J36" s="34" t="n">
        <f aca="false">G36*I36</f>
        <v>1.15</v>
      </c>
      <c r="K36" s="4"/>
      <c r="XEW36" s="7"/>
      <c r="XEX36" s="6"/>
      <c r="XEY36" s="7"/>
    </row>
    <row r="37" s="1" customFormat="true" ht="19.5" hidden="false" customHeight="true" outlineLevel="0" collapsed="false">
      <c r="A37" s="27" t="s">
        <v>13</v>
      </c>
      <c r="B37" s="28" t="s">
        <v>124</v>
      </c>
      <c r="C37" s="29" t="s">
        <v>145</v>
      </c>
      <c r="D37" s="30" t="s">
        <v>146</v>
      </c>
      <c r="E37" s="31" t="s">
        <v>147</v>
      </c>
      <c r="F37" s="32" t="s">
        <v>148</v>
      </c>
      <c r="G37" s="33" t="n">
        <v>1</v>
      </c>
      <c r="H37" s="34" t="n">
        <v>0.96</v>
      </c>
      <c r="I37" s="34" t="n">
        <v>1.15</v>
      </c>
      <c r="J37" s="34" t="n">
        <f aca="false">G37*I37</f>
        <v>1.15</v>
      </c>
      <c r="K37" s="4"/>
      <c r="XEW37" s="7"/>
      <c r="XEX37" s="6"/>
      <c r="XEY37" s="7"/>
    </row>
    <row r="38" s="1" customFormat="true" ht="19.5" hidden="false" customHeight="true" outlineLevel="0" collapsed="false">
      <c r="A38" s="27" t="s">
        <v>13</v>
      </c>
      <c r="B38" s="28" t="s">
        <v>117</v>
      </c>
      <c r="C38" s="44" t="s">
        <v>149</v>
      </c>
      <c r="D38" s="30" t="s">
        <v>150</v>
      </c>
      <c r="E38" s="31" t="s">
        <v>151</v>
      </c>
      <c r="F38" s="32" t="s">
        <v>152</v>
      </c>
      <c r="G38" s="33" t="n">
        <v>1</v>
      </c>
      <c r="H38" s="34" t="n">
        <v>21.58</v>
      </c>
      <c r="I38" s="34" t="n">
        <v>25.9</v>
      </c>
      <c r="J38" s="34" t="n">
        <f aca="false">G38*I38</f>
        <v>25.9</v>
      </c>
      <c r="K38" s="4"/>
      <c r="XEW38" s="7"/>
      <c r="XEX38" s="6"/>
      <c r="XEY38" s="7"/>
    </row>
    <row r="39" s="1" customFormat="true" ht="19.5" hidden="false" customHeight="true" outlineLevel="0" collapsed="false">
      <c r="A39" s="27" t="s">
        <v>13</v>
      </c>
      <c r="B39" s="28" t="s">
        <v>153</v>
      </c>
      <c r="C39" s="44" t="s">
        <v>154</v>
      </c>
      <c r="D39" s="30" t="s">
        <v>155</v>
      </c>
      <c r="E39" s="31" t="s">
        <v>156</v>
      </c>
      <c r="F39" s="32" t="s">
        <v>157</v>
      </c>
      <c r="G39" s="33" t="n">
        <v>1</v>
      </c>
      <c r="H39" s="34" t="n">
        <v>14.12</v>
      </c>
      <c r="I39" s="34" t="n">
        <v>16.95</v>
      </c>
      <c r="J39" s="34" t="n">
        <f aca="false">G39*I39</f>
        <v>16.95</v>
      </c>
      <c r="K39" s="4"/>
      <c r="XEW39" s="7"/>
      <c r="XEX39" s="6"/>
      <c r="XEY39" s="7"/>
    </row>
    <row r="40" s="1" customFormat="true" ht="19.5" hidden="false" customHeight="true" outlineLevel="0" collapsed="false">
      <c r="A40" s="27" t="s">
        <v>13</v>
      </c>
      <c r="B40" s="28" t="s">
        <v>14</v>
      </c>
      <c r="C40" s="44" t="s">
        <v>158</v>
      </c>
      <c r="D40" s="30" t="s">
        <v>159</v>
      </c>
      <c r="E40" s="55" t="s">
        <v>160</v>
      </c>
      <c r="F40" s="32" t="s">
        <v>161</v>
      </c>
      <c r="G40" s="33" t="n">
        <v>2</v>
      </c>
      <c r="H40" s="34" t="n">
        <v>5</v>
      </c>
      <c r="I40" s="34" t="n">
        <v>6</v>
      </c>
      <c r="J40" s="34" t="n">
        <f aca="false">G40*I40</f>
        <v>12</v>
      </c>
      <c r="K40" s="4"/>
      <c r="XEW40" s="7"/>
      <c r="XEX40" s="6"/>
      <c r="XEY40" s="7"/>
    </row>
    <row r="41" s="1" customFormat="true" ht="19.5" hidden="false" customHeight="true" outlineLevel="0" collapsed="false">
      <c r="A41" s="27" t="s">
        <v>13</v>
      </c>
      <c r="B41" s="28" t="s">
        <v>162</v>
      </c>
      <c r="C41" s="44" t="s">
        <v>163</v>
      </c>
      <c r="D41" s="30" t="s">
        <v>164</v>
      </c>
      <c r="E41" s="31" t="s">
        <v>165</v>
      </c>
      <c r="F41" s="32" t="s">
        <v>166</v>
      </c>
      <c r="G41" s="33" t="n">
        <v>2</v>
      </c>
      <c r="H41" s="34" t="n">
        <v>0.25</v>
      </c>
      <c r="I41" s="34" t="n">
        <v>0.3</v>
      </c>
      <c r="J41" s="34" t="n">
        <f aca="false">G41*I41</f>
        <v>0.6</v>
      </c>
      <c r="K41" s="4"/>
      <c r="XEW41" s="7"/>
      <c r="XEX41" s="6"/>
      <c r="XEY41" s="7"/>
    </row>
    <row r="42" s="1" customFormat="true" ht="19.5" hidden="false" customHeight="true" outlineLevel="0" collapsed="false">
      <c r="A42" s="27" t="s">
        <v>13</v>
      </c>
      <c r="B42" s="28" t="s">
        <v>167</v>
      </c>
      <c r="C42" s="44"/>
      <c r="D42" s="30"/>
      <c r="E42" s="31"/>
      <c r="F42" s="32"/>
      <c r="G42" s="33" t="n">
        <v>1</v>
      </c>
      <c r="H42" s="34" t="n">
        <v>6.58</v>
      </c>
      <c r="I42" s="34" t="n">
        <f aca="false">6.58*1.2</f>
        <v>7.896</v>
      </c>
      <c r="J42" s="34" t="n">
        <f aca="false">G42*I42</f>
        <v>7.896</v>
      </c>
      <c r="K42" s="4"/>
      <c r="XEW42" s="7"/>
      <c r="XEX42" s="6"/>
      <c r="XEY42" s="7"/>
    </row>
    <row r="43" s="1" customFormat="true" ht="19.5" hidden="false" customHeight="true" outlineLevel="0" collapsed="false">
      <c r="A43" s="27" t="s">
        <v>13</v>
      </c>
      <c r="B43" s="29" t="s">
        <v>168</v>
      </c>
      <c r="C43" s="44"/>
      <c r="D43" s="30"/>
      <c r="E43" s="31"/>
      <c r="F43" s="32"/>
      <c r="G43" s="33"/>
      <c r="H43" s="34"/>
      <c r="I43" s="34"/>
      <c r="J43" s="56" t="n">
        <f aca="false">SUM(J5:J42)</f>
        <v>347.156</v>
      </c>
      <c r="K43" s="4"/>
      <c r="XEW43" s="7"/>
      <c r="XEX43" s="6"/>
      <c r="XEY43" s="7"/>
    </row>
    <row r="44" s="1" customFormat="true" ht="19.5" hidden="false" customHeight="true" outlineLevel="0" collapsed="false">
      <c r="A44" s="57"/>
      <c r="B44" s="58"/>
      <c r="C44" s="59"/>
      <c r="D44" s="60"/>
      <c r="E44" s="58"/>
      <c r="F44" s="61"/>
      <c r="G44" s="62"/>
      <c r="H44" s="63"/>
      <c r="I44" s="63"/>
      <c r="J44" s="63"/>
      <c r="K44" s="4"/>
      <c r="XEW44" s="7"/>
      <c r="XEX44" s="6"/>
      <c r="XEY44" s="7"/>
    </row>
    <row r="45" s="1" customFormat="true" ht="19.5" hidden="false" customHeight="true" outlineLevel="0" collapsed="false">
      <c r="A45" s="64" t="s">
        <v>169</v>
      </c>
      <c r="B45" s="28"/>
      <c r="C45" s="35"/>
      <c r="D45" s="30"/>
      <c r="E45" s="28"/>
      <c r="F45" s="30"/>
      <c r="G45" s="33"/>
      <c r="H45" s="45"/>
      <c r="I45" s="34"/>
      <c r="J45" s="34"/>
      <c r="K45" s="4"/>
      <c r="XET45" s="6"/>
      <c r="XEU45" s="6"/>
      <c r="XEV45" s="6"/>
      <c r="XEW45" s="7"/>
      <c r="XEX45" s="6"/>
      <c r="XEY45" s="7"/>
    </row>
    <row r="46" s="1" customFormat="true" ht="19.5" hidden="false" customHeight="true" outlineLevel="0" collapsed="false">
      <c r="A46" s="27" t="s">
        <v>170</v>
      </c>
      <c r="B46" s="28" t="s">
        <v>171</v>
      </c>
      <c r="C46" s="35" t="s">
        <v>172</v>
      </c>
      <c r="D46" s="30" t="s">
        <v>173</v>
      </c>
      <c r="E46" s="28"/>
      <c r="F46" s="32" t="s">
        <v>174</v>
      </c>
      <c r="G46" s="33" t="n">
        <v>1</v>
      </c>
      <c r="H46" s="45"/>
      <c r="I46" s="34" t="n">
        <v>260</v>
      </c>
      <c r="J46" s="34" t="n">
        <f aca="false">G46*I46</f>
        <v>260</v>
      </c>
      <c r="K46" s="4" t="s">
        <v>175</v>
      </c>
      <c r="XEW46" s="7"/>
      <c r="XEX46" s="6"/>
      <c r="XEY46" s="7"/>
    </row>
    <row r="47" s="1" customFormat="true" ht="19.5" hidden="false" customHeight="true" outlineLevel="0" collapsed="false">
      <c r="A47" s="27" t="s">
        <v>170</v>
      </c>
      <c r="B47" s="28" t="s">
        <v>176</v>
      </c>
      <c r="C47" s="35"/>
      <c r="D47" s="30"/>
      <c r="E47" s="28"/>
      <c r="F47" s="32"/>
      <c r="G47" s="33" t="n">
        <v>1</v>
      </c>
      <c r="H47" s="45"/>
      <c r="I47" s="34" t="n">
        <v>25</v>
      </c>
      <c r="J47" s="34" t="n">
        <f aca="false">G47*I47</f>
        <v>25</v>
      </c>
      <c r="K47" s="4"/>
      <c r="XEW47" s="7"/>
      <c r="XEX47" s="6"/>
      <c r="XEY47" s="7"/>
    </row>
    <row r="48" s="1" customFormat="true" ht="19.5" hidden="false" customHeight="true" outlineLevel="0" collapsed="false">
      <c r="A48" s="27" t="s">
        <v>170</v>
      </c>
      <c r="B48" s="29" t="s">
        <v>168</v>
      </c>
      <c r="C48" s="35"/>
      <c r="D48" s="30"/>
      <c r="E48" s="28"/>
      <c r="F48" s="32"/>
      <c r="G48" s="33"/>
      <c r="H48" s="45"/>
      <c r="I48" s="34"/>
      <c r="J48" s="56" t="n">
        <f aca="false">SUM(J46:J47)</f>
        <v>285</v>
      </c>
      <c r="K48" s="4"/>
      <c r="XEW48" s="7"/>
      <c r="XEX48" s="6"/>
      <c r="XEY48" s="7"/>
    </row>
    <row r="49" s="1" customFormat="true" ht="19.5" hidden="false" customHeight="true" outlineLevel="0" collapsed="false">
      <c r="A49" s="57"/>
      <c r="B49" s="58"/>
      <c r="C49" s="59"/>
      <c r="D49" s="60"/>
      <c r="E49" s="58"/>
      <c r="F49" s="60"/>
      <c r="G49" s="62"/>
      <c r="H49" s="65"/>
      <c r="I49" s="63"/>
      <c r="J49" s="63"/>
      <c r="K49" s="4"/>
      <c r="XET49" s="6"/>
      <c r="XEU49" s="6"/>
      <c r="XEV49" s="6"/>
      <c r="XEW49" s="7"/>
      <c r="XEX49" s="6"/>
      <c r="XEY49" s="7"/>
    </row>
    <row r="50" s="1" customFormat="true" ht="19.5" hidden="false" customHeight="true" outlineLevel="0" collapsed="false">
      <c r="A50" s="64" t="s">
        <v>177</v>
      </c>
      <c r="B50" s="28"/>
      <c r="C50" s="35"/>
      <c r="D50" s="30"/>
      <c r="E50" s="28"/>
      <c r="F50" s="30"/>
      <c r="G50" s="33"/>
      <c r="H50" s="45"/>
      <c r="I50" s="34"/>
      <c r="J50" s="34"/>
      <c r="K50" s="4"/>
      <c r="XET50" s="6"/>
      <c r="XEU50" s="6"/>
      <c r="XEV50" s="6"/>
      <c r="XEW50" s="7"/>
      <c r="XEX50" s="6"/>
      <c r="XEY50" s="7"/>
    </row>
    <row r="51" s="1" customFormat="true" ht="19.5" hidden="false" customHeight="true" outlineLevel="0" collapsed="false">
      <c r="A51" s="27" t="s">
        <v>178</v>
      </c>
      <c r="B51" s="28" t="s">
        <v>171</v>
      </c>
      <c r="C51" s="35" t="s">
        <v>179</v>
      </c>
      <c r="D51" s="30" t="s">
        <v>180</v>
      </c>
      <c r="E51" s="28" t="s">
        <v>181</v>
      </c>
      <c r="F51" s="32" t="s">
        <v>182</v>
      </c>
      <c r="G51" s="33" t="n">
        <v>1</v>
      </c>
      <c r="H51" s="45" t="n">
        <v>67.79</v>
      </c>
      <c r="I51" s="34" t="n">
        <v>81.34</v>
      </c>
      <c r="J51" s="34" t="n">
        <f aca="false">G51*I51</f>
        <v>81.34</v>
      </c>
      <c r="K51" s="4"/>
      <c r="XET51" s="6"/>
      <c r="XEU51" s="6"/>
      <c r="XEV51" s="6"/>
      <c r="XEW51" s="7"/>
      <c r="XEX51" s="6"/>
      <c r="XEY51" s="7"/>
    </row>
    <row r="52" s="1" customFormat="true" ht="19.5" hidden="false" customHeight="true" outlineLevel="0" collapsed="false">
      <c r="A52" s="27" t="s">
        <v>178</v>
      </c>
      <c r="B52" s="28" t="s">
        <v>153</v>
      </c>
      <c r="C52" s="35" t="s">
        <v>183</v>
      </c>
      <c r="D52" s="30" t="s">
        <v>184</v>
      </c>
      <c r="E52" s="28" t="s">
        <v>185</v>
      </c>
      <c r="F52" s="32" t="s">
        <v>186</v>
      </c>
      <c r="G52" s="33" t="n">
        <v>1</v>
      </c>
      <c r="H52" s="45" t="n">
        <v>57.31</v>
      </c>
      <c r="I52" s="34" t="n">
        <v>68.77</v>
      </c>
      <c r="J52" s="34" t="n">
        <f aca="false">G52*I52</f>
        <v>68.77</v>
      </c>
      <c r="K52" s="4"/>
      <c r="XET52" s="6"/>
      <c r="XEU52" s="6"/>
      <c r="XEV52" s="6"/>
      <c r="XEW52" s="7"/>
      <c r="XEX52" s="6"/>
      <c r="XEY52" s="7"/>
    </row>
    <row r="53" s="1" customFormat="true" ht="18" hidden="false" customHeight="true" outlineLevel="0" collapsed="false">
      <c r="A53" s="27" t="s">
        <v>178</v>
      </c>
      <c r="B53" s="28" t="s">
        <v>57</v>
      </c>
      <c r="C53" s="35" t="s">
        <v>187</v>
      </c>
      <c r="D53" s="30" t="s">
        <v>188</v>
      </c>
      <c r="E53" s="28" t="s">
        <v>189</v>
      </c>
      <c r="F53" s="32" t="s">
        <v>190</v>
      </c>
      <c r="G53" s="33" t="n">
        <v>1</v>
      </c>
      <c r="H53" s="45" t="n">
        <v>5.62</v>
      </c>
      <c r="I53" s="34" t="n">
        <v>6.74</v>
      </c>
      <c r="J53" s="34" t="n">
        <f aca="false">G53*I53</f>
        <v>6.74</v>
      </c>
      <c r="K53" s="4"/>
      <c r="XET53" s="6"/>
      <c r="XEU53" s="6"/>
      <c r="XEV53" s="6"/>
      <c r="XEW53" s="7"/>
      <c r="XEX53" s="6"/>
      <c r="XEY53" s="7"/>
    </row>
    <row r="54" s="1" customFormat="true" ht="19.5" hidden="false" customHeight="true" outlineLevel="0" collapsed="false">
      <c r="A54" s="27" t="s">
        <v>178</v>
      </c>
      <c r="B54" s="29" t="s">
        <v>168</v>
      </c>
      <c r="C54" s="35"/>
      <c r="D54" s="30"/>
      <c r="E54" s="28"/>
      <c r="F54" s="32"/>
      <c r="G54" s="33"/>
      <c r="H54" s="45"/>
      <c r="I54" s="34"/>
      <c r="J54" s="56" t="n">
        <f aca="false">SUM(J51:J53)</f>
        <v>156.85</v>
      </c>
      <c r="K54" s="4"/>
      <c r="XET54" s="6"/>
      <c r="XEU54" s="6"/>
      <c r="XEV54" s="6"/>
      <c r="XEW54" s="7"/>
      <c r="XEX54" s="6"/>
      <c r="XEY54" s="7"/>
    </row>
    <row r="55" s="1" customFormat="true" ht="19.5" hidden="false" customHeight="true" outlineLevel="0" collapsed="false">
      <c r="A55" s="57"/>
      <c r="B55" s="58"/>
      <c r="C55" s="60"/>
      <c r="D55" s="60"/>
      <c r="E55" s="58"/>
      <c r="F55" s="60"/>
      <c r="G55" s="62"/>
      <c r="H55" s="65"/>
      <c r="I55" s="63"/>
      <c r="J55" s="63"/>
      <c r="K55" s="4"/>
      <c r="XET55" s="6"/>
      <c r="XEU55" s="6"/>
      <c r="XEV55" s="6"/>
      <c r="XEW55" s="7"/>
      <c r="XEX55" s="6"/>
      <c r="XEY55" s="7"/>
    </row>
    <row r="56" s="18" customFormat="true" ht="19.5" hidden="false" customHeight="true" outlineLevel="0" collapsed="false">
      <c r="A56" s="20" t="s">
        <v>191</v>
      </c>
      <c r="B56" s="21"/>
      <c r="C56" s="21"/>
      <c r="D56" s="21"/>
      <c r="E56" s="21"/>
      <c r="F56" s="21"/>
      <c r="G56" s="21"/>
      <c r="H56" s="22"/>
      <c r="I56" s="22"/>
      <c r="J56" s="34"/>
      <c r="K56" s="17"/>
      <c r="XEW56" s="7"/>
      <c r="XEX56" s="19"/>
      <c r="XEY56" s="7"/>
    </row>
    <row r="57" s="18" customFormat="true" ht="19.5" hidden="false" customHeight="true" outlineLevel="0" collapsed="false">
      <c r="A57" s="46" t="s">
        <v>192</v>
      </c>
      <c r="B57" s="47" t="s">
        <v>171</v>
      </c>
      <c r="C57" s="53" t="s">
        <v>193</v>
      </c>
      <c r="D57" s="49" t="s">
        <v>194</v>
      </c>
      <c r="E57" s="47"/>
      <c r="F57" s="54" t="s">
        <v>195</v>
      </c>
      <c r="G57" s="51" t="n">
        <v>1</v>
      </c>
      <c r="H57" s="66"/>
      <c r="I57" s="52" t="n">
        <v>8.49</v>
      </c>
      <c r="J57" s="52" t="n">
        <f aca="false">G57*I57</f>
        <v>8.49</v>
      </c>
      <c r="K57" s="17"/>
      <c r="XEW57" s="7"/>
      <c r="XEX57" s="19"/>
      <c r="XEY57" s="7"/>
    </row>
    <row r="58" s="1" customFormat="true" ht="19.5" hidden="false" customHeight="true" outlineLevel="0" collapsed="false">
      <c r="A58" s="27" t="s">
        <v>192</v>
      </c>
      <c r="B58" s="28" t="s">
        <v>196</v>
      </c>
      <c r="C58" s="44" t="s">
        <v>197</v>
      </c>
      <c r="D58" s="30" t="s">
        <v>198</v>
      </c>
      <c r="E58" s="28"/>
      <c r="F58" s="32" t="s">
        <v>199</v>
      </c>
      <c r="G58" s="33" t="n">
        <v>1</v>
      </c>
      <c r="H58" s="34"/>
      <c r="I58" s="34" t="n">
        <v>15.99</v>
      </c>
      <c r="J58" s="34" t="n">
        <f aca="false">G58*I58</f>
        <v>15.99</v>
      </c>
      <c r="K58" s="4"/>
      <c r="XEW58" s="7"/>
      <c r="XEX58" s="6"/>
      <c r="XEY58" s="7"/>
    </row>
    <row r="59" s="1" customFormat="true" ht="19.5" hidden="false" customHeight="true" outlineLevel="0" collapsed="false">
      <c r="A59" s="27" t="s">
        <v>192</v>
      </c>
      <c r="B59" s="28" t="s">
        <v>108</v>
      </c>
      <c r="C59" s="29" t="s">
        <v>200</v>
      </c>
      <c r="D59" s="67" t="s">
        <v>201</v>
      </c>
      <c r="E59" s="28"/>
      <c r="F59" s="32" t="s">
        <v>202</v>
      </c>
      <c r="G59" s="33" t="n">
        <v>1</v>
      </c>
      <c r="H59" s="34"/>
      <c r="I59" s="34" t="n">
        <v>14.99</v>
      </c>
      <c r="J59" s="34" t="n">
        <f aca="false">G59*I59</f>
        <v>14.99</v>
      </c>
      <c r="K59" s="4"/>
      <c r="XEW59" s="7"/>
      <c r="XEX59" s="6"/>
      <c r="XEY59" s="7"/>
    </row>
    <row r="60" s="1" customFormat="true" ht="19.5" hidden="false" customHeight="true" outlineLevel="0" collapsed="false">
      <c r="A60" s="46" t="s">
        <v>192</v>
      </c>
      <c r="B60" s="47" t="s">
        <v>117</v>
      </c>
      <c r="C60" s="53" t="s">
        <v>203</v>
      </c>
      <c r="D60" s="68" t="s">
        <v>204</v>
      </c>
      <c r="E60" s="47"/>
      <c r="F60" s="54" t="s">
        <v>205</v>
      </c>
      <c r="G60" s="51" t="n">
        <v>1</v>
      </c>
      <c r="H60" s="66"/>
      <c r="I60" s="52" t="n">
        <v>9.59</v>
      </c>
      <c r="J60" s="52" t="n">
        <f aca="false">G60*I60</f>
        <v>9.59</v>
      </c>
      <c r="K60" s="4"/>
      <c r="XEW60" s="7"/>
      <c r="XEX60" s="6"/>
      <c r="XEY60" s="7"/>
    </row>
    <row r="61" s="1" customFormat="true" ht="19.5" hidden="false" customHeight="true" outlineLevel="0" collapsed="false">
      <c r="A61" s="27" t="s">
        <v>192</v>
      </c>
      <c r="B61" s="28" t="s">
        <v>117</v>
      </c>
      <c r="C61" s="29" t="s">
        <v>206</v>
      </c>
      <c r="D61" s="30" t="s">
        <v>207</v>
      </c>
      <c r="E61" s="28"/>
      <c r="F61" s="32" t="s">
        <v>208</v>
      </c>
      <c r="G61" s="33" t="n">
        <v>1</v>
      </c>
      <c r="H61" s="34"/>
      <c r="I61" s="34" t="n">
        <v>9.99</v>
      </c>
      <c r="J61" s="34" t="n">
        <f aca="false">G61*I61</f>
        <v>9.99</v>
      </c>
      <c r="K61" s="4"/>
      <c r="XEW61" s="7"/>
      <c r="XEX61" s="6"/>
      <c r="XEY61" s="7"/>
    </row>
    <row r="62" s="1" customFormat="true" ht="19.5" hidden="false" customHeight="true" outlineLevel="0" collapsed="false">
      <c r="A62" s="27" t="s">
        <v>192</v>
      </c>
      <c r="B62" s="28" t="s">
        <v>117</v>
      </c>
      <c r="C62" s="29" t="s">
        <v>209</v>
      </c>
      <c r="D62" s="30" t="s">
        <v>210</v>
      </c>
      <c r="E62" s="28"/>
      <c r="F62" s="32" t="s">
        <v>211</v>
      </c>
      <c r="G62" s="33" t="n">
        <v>1</v>
      </c>
      <c r="H62" s="34"/>
      <c r="I62" s="34" t="n">
        <v>14.99</v>
      </c>
      <c r="J62" s="34" t="n">
        <f aca="false">G62*I62</f>
        <v>14.99</v>
      </c>
      <c r="K62" s="4"/>
      <c r="XEW62" s="7"/>
      <c r="XEX62" s="6"/>
      <c r="XEY62" s="7"/>
    </row>
    <row r="63" s="1" customFormat="true" ht="19.5" hidden="false" customHeight="true" outlineLevel="0" collapsed="false">
      <c r="A63" s="27" t="s">
        <v>192</v>
      </c>
      <c r="B63" s="28" t="s">
        <v>117</v>
      </c>
      <c r="C63" s="35" t="s">
        <v>212</v>
      </c>
      <c r="D63" s="30" t="s">
        <v>213</v>
      </c>
      <c r="E63" s="28"/>
      <c r="F63" s="32" t="s">
        <v>214</v>
      </c>
      <c r="G63" s="33" t="n">
        <v>1</v>
      </c>
      <c r="H63" s="34"/>
      <c r="I63" s="34" t="n">
        <v>11.89</v>
      </c>
      <c r="J63" s="34" t="n">
        <f aca="false">G63*I63</f>
        <v>11.89</v>
      </c>
      <c r="K63" s="4"/>
      <c r="XEW63" s="7"/>
      <c r="XEX63" s="6"/>
      <c r="XEY63" s="7"/>
    </row>
    <row r="64" s="1" customFormat="true" ht="19.5" hidden="false" customHeight="true" outlineLevel="0" collapsed="false">
      <c r="A64" s="27" t="s">
        <v>192</v>
      </c>
      <c r="B64" s="28" t="s">
        <v>153</v>
      </c>
      <c r="C64" s="35" t="s">
        <v>215</v>
      </c>
      <c r="D64" s="30" t="s">
        <v>216</v>
      </c>
      <c r="E64" s="28"/>
      <c r="F64" s="32" t="s">
        <v>217</v>
      </c>
      <c r="G64" s="33" t="n">
        <v>1</v>
      </c>
      <c r="H64" s="34"/>
      <c r="I64" s="34" t="n">
        <v>58.99</v>
      </c>
      <c r="J64" s="34" t="n">
        <f aca="false">G64*I64</f>
        <v>58.99</v>
      </c>
      <c r="K64" s="4"/>
      <c r="XEW64" s="7"/>
      <c r="XEX64" s="6"/>
      <c r="XEY64" s="7"/>
    </row>
    <row r="65" s="1" customFormat="true" ht="19.5" hidden="false" customHeight="true" outlineLevel="0" collapsed="false">
      <c r="A65" s="27" t="s">
        <v>192</v>
      </c>
      <c r="B65" s="28" t="s">
        <v>196</v>
      </c>
      <c r="C65" s="35" t="s">
        <v>218</v>
      </c>
      <c r="D65" s="30" t="s">
        <v>219</v>
      </c>
      <c r="E65" s="28"/>
      <c r="F65" s="32" t="s">
        <v>220</v>
      </c>
      <c r="G65" s="33" t="n">
        <v>1</v>
      </c>
      <c r="H65" s="34"/>
      <c r="I65" s="34" t="n">
        <v>29.99</v>
      </c>
      <c r="J65" s="34" t="n">
        <f aca="false">G65*I65</f>
        <v>29.99</v>
      </c>
      <c r="K65" s="4"/>
      <c r="XEW65" s="7"/>
      <c r="XEX65" s="6"/>
      <c r="XEY65" s="7"/>
    </row>
    <row r="66" s="1" customFormat="true" ht="19.5" hidden="false" customHeight="true" outlineLevel="0" collapsed="false">
      <c r="A66" s="27" t="s">
        <v>192</v>
      </c>
      <c r="B66" s="28" t="s">
        <v>108</v>
      </c>
      <c r="C66" s="35" t="s">
        <v>221</v>
      </c>
      <c r="D66" s="30" t="s">
        <v>222</v>
      </c>
      <c r="E66" s="28"/>
      <c r="F66" s="32" t="s">
        <v>223</v>
      </c>
      <c r="G66" s="33" t="n">
        <v>1</v>
      </c>
      <c r="H66" s="34"/>
      <c r="I66" s="34" t="n">
        <v>13.02</v>
      </c>
      <c r="J66" s="34" t="n">
        <f aca="false">G66*I66</f>
        <v>13.02</v>
      </c>
      <c r="K66" s="4"/>
      <c r="XEW66" s="7"/>
      <c r="XEX66" s="6"/>
      <c r="XEY66" s="7"/>
    </row>
    <row r="67" s="1" customFormat="true" ht="19.5" hidden="false" customHeight="true" outlineLevel="0" collapsed="false">
      <c r="A67" s="27" t="s">
        <v>192</v>
      </c>
      <c r="B67" s="28" t="s">
        <v>224</v>
      </c>
      <c r="C67" s="35" t="s">
        <v>225</v>
      </c>
      <c r="D67" s="30" t="s">
        <v>226</v>
      </c>
      <c r="E67" s="28"/>
      <c r="F67" s="32" t="s">
        <v>227</v>
      </c>
      <c r="G67" s="33" t="n">
        <v>1</v>
      </c>
      <c r="H67" s="34"/>
      <c r="I67" s="34" t="n">
        <v>36.99</v>
      </c>
      <c r="J67" s="34" t="n">
        <v>36.99</v>
      </c>
      <c r="K67" s="4"/>
      <c r="XEW67" s="7"/>
      <c r="XEX67" s="6"/>
      <c r="XEY67" s="7"/>
    </row>
    <row r="68" s="1" customFormat="true" ht="19.5" hidden="false" customHeight="true" outlineLevel="0" collapsed="false">
      <c r="A68" s="46" t="s">
        <v>192</v>
      </c>
      <c r="B68" s="47" t="s">
        <v>176</v>
      </c>
      <c r="C68" s="53"/>
      <c r="D68" s="49"/>
      <c r="E68" s="47"/>
      <c r="F68" s="54"/>
      <c r="G68" s="51" t="n">
        <v>1</v>
      </c>
      <c r="H68" s="66"/>
      <c r="I68" s="52" t="n">
        <v>10</v>
      </c>
      <c r="J68" s="52" t="n">
        <f aca="false">G68*I68</f>
        <v>10</v>
      </c>
      <c r="K68" s="4"/>
      <c r="XEW68" s="7"/>
      <c r="XEX68" s="6"/>
      <c r="XEY68" s="7"/>
    </row>
    <row r="69" s="1" customFormat="true" ht="19.5" hidden="false" customHeight="true" outlineLevel="0" collapsed="false">
      <c r="A69" s="27" t="s">
        <v>192</v>
      </c>
      <c r="B69" s="29" t="s">
        <v>168</v>
      </c>
      <c r="C69" s="35"/>
      <c r="D69" s="30"/>
      <c r="E69" s="28"/>
      <c r="F69" s="32"/>
      <c r="G69" s="33"/>
      <c r="H69" s="34"/>
      <c r="I69" s="34"/>
      <c r="J69" s="56" t="n">
        <f aca="false">SUM(J58:J65)</f>
        <v>166.42</v>
      </c>
      <c r="K69" s="4"/>
      <c r="XEW69" s="7"/>
      <c r="XEX69" s="6"/>
      <c r="XEY69" s="7"/>
    </row>
    <row r="70" s="1" customFormat="true" ht="19.5" hidden="false" customHeight="true" outlineLevel="0" collapsed="false">
      <c r="A70" s="57"/>
      <c r="B70" s="58"/>
      <c r="C70" s="59"/>
      <c r="D70" s="60"/>
      <c r="E70" s="58"/>
      <c r="F70" s="61"/>
      <c r="G70" s="62"/>
      <c r="H70" s="63"/>
      <c r="I70" s="63"/>
      <c r="J70" s="63"/>
      <c r="K70" s="4"/>
      <c r="XEW70" s="7"/>
      <c r="XEX70" s="6"/>
      <c r="XEY70" s="7"/>
    </row>
    <row r="71" s="1" customFormat="true" ht="19.5" hidden="false" customHeight="true" outlineLevel="0" collapsed="false">
      <c r="A71" s="64" t="s">
        <v>228</v>
      </c>
      <c r="B71" s="28"/>
      <c r="C71" s="44"/>
      <c r="D71" s="69"/>
      <c r="E71" s="28"/>
      <c r="F71" s="30"/>
      <c r="G71" s="33"/>
      <c r="H71" s="34"/>
      <c r="I71" s="70"/>
      <c r="J71" s="34"/>
      <c r="K71" s="4"/>
      <c r="XEW71" s="7"/>
      <c r="XEX71" s="6"/>
      <c r="XEY71" s="7"/>
    </row>
    <row r="72" s="7" customFormat="true" ht="19.5" hidden="false" customHeight="true" outlineLevel="0" collapsed="false">
      <c r="A72" s="71" t="s">
        <v>229</v>
      </c>
      <c r="B72" s="72" t="s">
        <v>108</v>
      </c>
      <c r="C72" s="73" t="s">
        <v>230</v>
      </c>
      <c r="D72" s="74" t="s">
        <v>231</v>
      </c>
      <c r="E72" s="75"/>
      <c r="F72" s="39" t="s">
        <v>232</v>
      </c>
      <c r="G72" s="71" t="n">
        <v>9</v>
      </c>
      <c r="H72" s="41" t="n">
        <v>7.08</v>
      </c>
      <c r="I72" s="76" t="n">
        <f aca="false">H72*1.2</f>
        <v>8.496</v>
      </c>
      <c r="J72" s="34" t="n">
        <f aca="false">G72*I72</f>
        <v>76.464</v>
      </c>
      <c r="K72" s="2"/>
      <c r="XEX72" s="6"/>
    </row>
    <row r="73" s="7" customFormat="true" ht="19.5" hidden="false" customHeight="true" outlineLevel="0" collapsed="false">
      <c r="A73" s="71" t="s">
        <v>229</v>
      </c>
      <c r="B73" s="72" t="s">
        <v>167</v>
      </c>
      <c r="C73" s="73"/>
      <c r="D73" s="74"/>
      <c r="E73" s="75"/>
      <c r="F73" s="39"/>
      <c r="G73" s="71" t="n">
        <v>1</v>
      </c>
      <c r="H73" s="41" t="n">
        <v>8.99</v>
      </c>
      <c r="I73" s="77" t="n">
        <f aca="false">8.99*1.2</f>
        <v>10.788</v>
      </c>
      <c r="J73" s="34" t="n">
        <f aca="false">G73*I73</f>
        <v>10.788</v>
      </c>
      <c r="K73" s="2"/>
      <c r="XEX73" s="6"/>
    </row>
    <row r="74" s="7" customFormat="true" ht="19.5" hidden="false" customHeight="true" outlineLevel="0" collapsed="false">
      <c r="A74" s="33" t="s">
        <v>229</v>
      </c>
      <c r="B74" s="78" t="s">
        <v>168</v>
      </c>
      <c r="C74" s="73"/>
      <c r="D74" s="74"/>
      <c r="E74" s="75"/>
      <c r="F74" s="39"/>
      <c r="G74" s="71"/>
      <c r="H74" s="41"/>
      <c r="I74" s="76"/>
      <c r="J74" s="56" t="n">
        <f aca="false">SUM(J72:J73)</f>
        <v>87.252</v>
      </c>
      <c r="K74" s="2"/>
      <c r="XEX74" s="6"/>
    </row>
    <row r="75" s="1" customFormat="true" ht="19.5" hidden="false" customHeight="true" outlineLevel="0" collapsed="false">
      <c r="A75" s="57"/>
      <c r="B75" s="79"/>
      <c r="C75" s="80"/>
      <c r="D75" s="60"/>
      <c r="E75" s="81"/>
      <c r="F75" s="60"/>
      <c r="G75" s="62"/>
      <c r="H75" s="82"/>
      <c r="I75" s="63"/>
      <c r="J75" s="83"/>
      <c r="K75" s="4"/>
      <c r="XEW75" s="7"/>
      <c r="XEX75" s="6"/>
      <c r="XEY75" s="7"/>
    </row>
    <row r="76" s="1" customFormat="true" ht="19.5" hidden="false" customHeight="true" outlineLevel="0" collapsed="false">
      <c r="A76" s="84" t="s">
        <v>233</v>
      </c>
      <c r="B76" s="48"/>
      <c r="C76" s="53"/>
      <c r="D76" s="49"/>
      <c r="E76" s="47"/>
      <c r="F76" s="85"/>
      <c r="G76" s="51"/>
      <c r="H76" s="66"/>
      <c r="I76" s="52"/>
      <c r="J76" s="86"/>
      <c r="K76" s="4"/>
      <c r="XEW76" s="7"/>
      <c r="XEX76" s="6"/>
      <c r="XEY76" s="7"/>
    </row>
    <row r="77" s="1" customFormat="true" ht="19.5" hidden="false" customHeight="true" outlineLevel="0" collapsed="false">
      <c r="A77" s="46" t="s">
        <v>234</v>
      </c>
      <c r="B77" s="87" t="s">
        <v>235</v>
      </c>
      <c r="C77" s="48" t="s">
        <v>236</v>
      </c>
      <c r="D77" s="49" t="s">
        <v>237</v>
      </c>
      <c r="E77" s="47"/>
      <c r="F77" s="85" t="s">
        <v>238</v>
      </c>
      <c r="G77" s="51" t="n">
        <v>6</v>
      </c>
      <c r="H77" s="88" t="n">
        <v>7.99</v>
      </c>
      <c r="I77" s="52" t="n">
        <f aca="false">H77*1.2</f>
        <v>9.588</v>
      </c>
      <c r="J77" s="89" t="n">
        <f aca="false">G77*I77</f>
        <v>57.528</v>
      </c>
      <c r="K77" s="4"/>
      <c r="XEW77" s="7"/>
      <c r="XEX77" s="6"/>
      <c r="XEY77" s="7"/>
    </row>
    <row r="78" s="1" customFormat="true" ht="19.5" hidden="false" customHeight="true" outlineLevel="0" collapsed="false">
      <c r="A78" s="46" t="s">
        <v>234</v>
      </c>
      <c r="B78" s="87" t="s">
        <v>235</v>
      </c>
      <c r="C78" s="48" t="s">
        <v>239</v>
      </c>
      <c r="D78" s="49" t="s">
        <v>240</v>
      </c>
      <c r="E78" s="47"/>
      <c r="F78" s="85" t="s">
        <v>241</v>
      </c>
      <c r="G78" s="51" t="n">
        <v>1</v>
      </c>
      <c r="H78" s="88" t="n">
        <v>25.99</v>
      </c>
      <c r="I78" s="52" t="n">
        <f aca="false">H78*1.2</f>
        <v>31.188</v>
      </c>
      <c r="J78" s="89" t="n">
        <f aca="false">G78*I78</f>
        <v>31.188</v>
      </c>
      <c r="K78" s="4"/>
      <c r="XEW78" s="7"/>
      <c r="XEX78" s="6"/>
      <c r="XEY78" s="7"/>
    </row>
    <row r="79" s="1" customFormat="true" ht="19.5" hidden="false" customHeight="true" outlineLevel="0" collapsed="false">
      <c r="A79" s="46" t="s">
        <v>234</v>
      </c>
      <c r="B79" s="87" t="s">
        <v>235</v>
      </c>
      <c r="C79" s="48" t="s">
        <v>242</v>
      </c>
      <c r="D79" s="49" t="s">
        <v>243</v>
      </c>
      <c r="E79" s="47"/>
      <c r="F79" s="85" t="s">
        <v>244</v>
      </c>
      <c r="G79" s="51" t="n">
        <v>1</v>
      </c>
      <c r="H79" s="88" t="n">
        <v>12.9</v>
      </c>
      <c r="I79" s="52" t="n">
        <f aca="false">H79*1.2</f>
        <v>15.48</v>
      </c>
      <c r="J79" s="89" t="n">
        <f aca="false">G79*I79</f>
        <v>15.48</v>
      </c>
      <c r="K79" s="4"/>
      <c r="XEW79" s="7"/>
      <c r="XEX79" s="6"/>
      <c r="XEY79" s="7"/>
    </row>
    <row r="80" s="1" customFormat="true" ht="19.5" hidden="false" customHeight="true" outlineLevel="0" collapsed="false">
      <c r="A80" s="46" t="s">
        <v>234</v>
      </c>
      <c r="B80" s="47" t="s">
        <v>176</v>
      </c>
      <c r="C80" s="90"/>
      <c r="D80" s="49"/>
      <c r="E80" s="47"/>
      <c r="F80" s="85"/>
      <c r="G80" s="51" t="n">
        <v>1</v>
      </c>
      <c r="H80" s="66"/>
      <c r="I80" s="52" t="n">
        <v>10</v>
      </c>
      <c r="J80" s="89" t="n">
        <f aca="false">G80*I80</f>
        <v>10</v>
      </c>
      <c r="K80" s="4"/>
      <c r="XEW80" s="7"/>
      <c r="XEX80" s="6"/>
      <c r="XEY80" s="7"/>
    </row>
    <row r="81" s="1" customFormat="true" ht="19.5" hidden="false" customHeight="true" outlineLevel="0" collapsed="false">
      <c r="A81" s="46" t="s">
        <v>234</v>
      </c>
      <c r="B81" s="48" t="s">
        <v>168</v>
      </c>
      <c r="C81" s="90"/>
      <c r="D81" s="49"/>
      <c r="E81" s="47"/>
      <c r="F81" s="85"/>
      <c r="G81" s="51"/>
      <c r="H81" s="66"/>
      <c r="I81" s="86"/>
      <c r="J81" s="91" t="n">
        <f aca="false">SUM(J77:J80)</f>
        <v>114.196</v>
      </c>
      <c r="K81" s="4"/>
      <c r="XEW81" s="7"/>
      <c r="XEX81" s="6"/>
      <c r="XEY81" s="7"/>
    </row>
    <row r="82" s="1" customFormat="true" ht="19.5" hidden="false" customHeight="true" outlineLevel="0" collapsed="false">
      <c r="A82" s="92"/>
      <c r="B82" s="93"/>
      <c r="C82" s="94"/>
      <c r="D82" s="95"/>
      <c r="E82" s="96"/>
      <c r="F82" s="97"/>
      <c r="G82" s="98"/>
      <c r="H82" s="99"/>
      <c r="I82" s="100"/>
      <c r="J82" s="101"/>
      <c r="K82" s="4"/>
      <c r="XEW82" s="7"/>
      <c r="XEX82" s="6"/>
      <c r="XEY82" s="7"/>
    </row>
    <row r="83" s="1" customFormat="true" ht="19.5" hidden="false" customHeight="true" outlineLevel="0" collapsed="false">
      <c r="A83" s="102" t="s">
        <v>245</v>
      </c>
      <c r="B83" s="28"/>
      <c r="C83" s="35"/>
      <c r="D83" s="30"/>
      <c r="E83" s="28"/>
      <c r="F83" s="32"/>
      <c r="G83" s="33"/>
      <c r="H83" s="34"/>
      <c r="I83" s="34"/>
      <c r="J83" s="34"/>
      <c r="K83" s="4"/>
      <c r="XEW83" s="7"/>
      <c r="XEX83" s="6"/>
      <c r="XEY83" s="7"/>
    </row>
    <row r="84" s="1" customFormat="true" ht="19.5" hidden="false" customHeight="true" outlineLevel="0" collapsed="false">
      <c r="A84" s="27" t="s">
        <v>245</v>
      </c>
      <c r="B84" s="28" t="s">
        <v>246</v>
      </c>
      <c r="C84" s="44" t="s">
        <v>247</v>
      </c>
      <c r="D84" s="30"/>
      <c r="E84" s="28"/>
      <c r="F84" s="32"/>
      <c r="G84" s="33" t="n">
        <v>2</v>
      </c>
      <c r="H84" s="34" t="n">
        <v>78</v>
      </c>
      <c r="I84" s="34" t="n">
        <f aca="false">H84*1.2</f>
        <v>93.6</v>
      </c>
      <c r="J84" s="34" t="n">
        <f aca="false">G84*I84</f>
        <v>187.2</v>
      </c>
      <c r="K84" s="4"/>
      <c r="XEW84" s="7"/>
      <c r="XEX84" s="6"/>
      <c r="XEY84" s="7"/>
    </row>
    <row r="85" s="1" customFormat="true" ht="19.5" hidden="false" customHeight="true" outlineLevel="0" collapsed="false">
      <c r="A85" s="27" t="s">
        <v>245</v>
      </c>
      <c r="B85" s="28" t="s">
        <v>167</v>
      </c>
      <c r="C85" s="35"/>
      <c r="D85" s="30"/>
      <c r="E85" s="28"/>
      <c r="F85" s="32"/>
      <c r="G85" s="33" t="n">
        <v>1</v>
      </c>
      <c r="H85" s="34" t="n">
        <v>40</v>
      </c>
      <c r="I85" s="34" t="n">
        <f aca="false">H85*1.2</f>
        <v>48</v>
      </c>
      <c r="J85" s="34" t="n">
        <f aca="false">G85*I85</f>
        <v>48</v>
      </c>
      <c r="K85" s="4"/>
      <c r="XEW85" s="7"/>
      <c r="XEX85" s="6"/>
      <c r="XEY85" s="7"/>
    </row>
    <row r="86" s="1" customFormat="true" ht="19.5" hidden="false" customHeight="true" outlineLevel="0" collapsed="false">
      <c r="A86" s="27" t="s">
        <v>245</v>
      </c>
      <c r="B86" s="29" t="s">
        <v>168</v>
      </c>
      <c r="C86" s="35"/>
      <c r="D86" s="30"/>
      <c r="E86" s="28"/>
      <c r="F86" s="32"/>
      <c r="G86" s="33"/>
      <c r="H86" s="34"/>
      <c r="I86" s="34"/>
      <c r="J86" s="56" t="n">
        <f aca="false">SUM(J84:J85)</f>
        <v>235.2</v>
      </c>
      <c r="K86" s="4"/>
      <c r="XEW86" s="7"/>
      <c r="XEX86" s="6"/>
      <c r="XEY86" s="7"/>
    </row>
    <row r="87" s="1" customFormat="true" ht="19.5" hidden="false" customHeight="true" outlineLevel="0" collapsed="false">
      <c r="A87" s="57"/>
      <c r="B87" s="80"/>
      <c r="C87" s="59"/>
      <c r="D87" s="60"/>
      <c r="E87" s="58"/>
      <c r="F87" s="61"/>
      <c r="G87" s="62"/>
      <c r="H87" s="63"/>
      <c r="I87" s="63"/>
      <c r="J87" s="63"/>
      <c r="K87" s="4"/>
      <c r="XEW87" s="7"/>
      <c r="XEX87" s="6"/>
      <c r="XEY87" s="7"/>
    </row>
    <row r="88" s="1" customFormat="true" ht="19.5" hidden="false" customHeight="true" outlineLevel="0" collapsed="false">
      <c r="A88" s="103" t="s">
        <v>248</v>
      </c>
      <c r="B88" s="48"/>
      <c r="C88" s="53"/>
      <c r="D88" s="49"/>
      <c r="E88" s="47"/>
      <c r="F88" s="54"/>
      <c r="G88" s="51"/>
      <c r="H88" s="66"/>
      <c r="I88" s="52"/>
      <c r="J88" s="104"/>
      <c r="K88" s="4"/>
      <c r="XEW88" s="7"/>
      <c r="XEX88" s="6"/>
      <c r="XEY88" s="7"/>
    </row>
    <row r="89" s="1" customFormat="true" ht="19.5" hidden="false" customHeight="true" outlineLevel="0" collapsed="false">
      <c r="A89" s="46" t="s">
        <v>249</v>
      </c>
      <c r="B89" s="47" t="s">
        <v>250</v>
      </c>
      <c r="C89" s="53" t="s">
        <v>251</v>
      </c>
      <c r="D89" s="49" t="s">
        <v>252</v>
      </c>
      <c r="E89" s="68" t="s">
        <v>253</v>
      </c>
      <c r="F89" s="54" t="s">
        <v>254</v>
      </c>
      <c r="G89" s="51" t="n">
        <v>1</v>
      </c>
      <c r="H89" s="66" t="n">
        <v>4.13</v>
      </c>
      <c r="I89" s="52" t="n">
        <f aca="false">H89*1.2</f>
        <v>4.956</v>
      </c>
      <c r="J89" s="52" t="n">
        <f aca="false">G89*I89</f>
        <v>4.956</v>
      </c>
      <c r="K89" s="4"/>
      <c r="XEW89" s="7"/>
      <c r="XEX89" s="6"/>
      <c r="XEY89" s="7"/>
    </row>
    <row r="90" s="1" customFormat="true" ht="19.5" hidden="false" customHeight="true" outlineLevel="0" collapsed="false">
      <c r="A90" s="46" t="s">
        <v>249</v>
      </c>
      <c r="B90" s="47" t="s">
        <v>250</v>
      </c>
      <c r="C90" s="53" t="s">
        <v>255</v>
      </c>
      <c r="D90" s="49" t="s">
        <v>256</v>
      </c>
      <c r="E90" s="68" t="s">
        <v>257</v>
      </c>
      <c r="F90" s="54" t="s">
        <v>258</v>
      </c>
      <c r="G90" s="51" t="n">
        <v>1</v>
      </c>
      <c r="H90" s="66" t="n">
        <v>27.23</v>
      </c>
      <c r="I90" s="52" t="n">
        <f aca="false">H90*1.2</f>
        <v>32.676</v>
      </c>
      <c r="J90" s="52" t="n">
        <f aca="false">G90*I90</f>
        <v>32.676</v>
      </c>
      <c r="K90" s="4"/>
      <c r="XEW90" s="7"/>
      <c r="XEX90" s="6"/>
      <c r="XEY90" s="7"/>
    </row>
    <row r="91" s="1" customFormat="true" ht="19.5" hidden="false" customHeight="true" outlineLevel="0" collapsed="false">
      <c r="A91" s="46" t="s">
        <v>249</v>
      </c>
      <c r="B91" s="47" t="s">
        <v>250</v>
      </c>
      <c r="C91" s="53" t="s">
        <v>259</v>
      </c>
      <c r="D91" s="68" t="s">
        <v>260</v>
      </c>
      <c r="E91" s="68" t="s">
        <v>261</v>
      </c>
      <c r="F91" s="54" t="s">
        <v>262</v>
      </c>
      <c r="G91" s="51" t="n">
        <v>1</v>
      </c>
      <c r="H91" s="66" t="n">
        <v>3.28</v>
      </c>
      <c r="I91" s="52" t="n">
        <f aca="false">H91*1.2</f>
        <v>3.936</v>
      </c>
      <c r="J91" s="52" t="n">
        <f aca="false">G91*I91</f>
        <v>3.936</v>
      </c>
      <c r="K91" s="4"/>
      <c r="XEW91" s="7"/>
      <c r="XEX91" s="6"/>
      <c r="XEY91" s="7"/>
    </row>
    <row r="92" s="1" customFormat="true" ht="19.5" hidden="false" customHeight="true" outlineLevel="0" collapsed="false">
      <c r="A92" s="46" t="s">
        <v>249</v>
      </c>
      <c r="B92" s="47" t="s">
        <v>176</v>
      </c>
      <c r="C92" s="53"/>
      <c r="D92" s="68"/>
      <c r="E92" s="68"/>
      <c r="F92" s="54"/>
      <c r="G92" s="51" t="n">
        <v>1</v>
      </c>
      <c r="H92" s="66"/>
      <c r="I92" s="52" t="n">
        <v>51.09</v>
      </c>
      <c r="J92" s="52" t="n">
        <f aca="false">G92*I92</f>
        <v>51.09</v>
      </c>
      <c r="K92" s="4"/>
      <c r="XEW92" s="7"/>
      <c r="XEX92" s="6"/>
      <c r="XEY92" s="7"/>
    </row>
    <row r="93" s="1" customFormat="true" ht="19.5" hidden="false" customHeight="true" outlineLevel="0" collapsed="false">
      <c r="A93" s="46" t="s">
        <v>249</v>
      </c>
      <c r="B93" s="48" t="s">
        <v>168</v>
      </c>
      <c r="C93" s="53"/>
      <c r="D93" s="49"/>
      <c r="E93" s="47"/>
      <c r="F93" s="54"/>
      <c r="G93" s="51"/>
      <c r="H93" s="66"/>
      <c r="I93" s="86"/>
      <c r="J93" s="91" t="n">
        <f aca="false">SUM(J89:J92)</f>
        <v>92.658</v>
      </c>
      <c r="K93" s="4"/>
      <c r="XEW93" s="7"/>
      <c r="XEX93" s="6"/>
      <c r="XEY93" s="7"/>
    </row>
    <row r="94" s="1" customFormat="true" ht="19.5" hidden="false" customHeight="true" outlineLevel="0" collapsed="false">
      <c r="A94" s="92"/>
      <c r="B94" s="105"/>
      <c r="C94" s="106"/>
      <c r="D94" s="95"/>
      <c r="E94" s="96"/>
      <c r="F94" s="107"/>
      <c r="G94" s="98"/>
      <c r="H94" s="99"/>
      <c r="I94" s="100"/>
      <c r="J94" s="108"/>
      <c r="K94" s="4"/>
      <c r="XEW94" s="7"/>
      <c r="XEX94" s="6"/>
      <c r="XEY94" s="7"/>
    </row>
    <row r="95" s="1" customFormat="true" ht="19.5" hidden="false" customHeight="true" outlineLevel="0" collapsed="false">
      <c r="A95" s="103" t="s">
        <v>263</v>
      </c>
      <c r="B95" s="48"/>
      <c r="C95" s="53"/>
      <c r="D95" s="49"/>
      <c r="E95" s="47"/>
      <c r="F95" s="54"/>
      <c r="G95" s="51"/>
      <c r="H95" s="66"/>
      <c r="I95" s="52"/>
      <c r="J95" s="104"/>
      <c r="K95" s="4"/>
      <c r="XEW95" s="7"/>
      <c r="XEX95" s="6"/>
      <c r="XEY95" s="7"/>
    </row>
    <row r="96" s="1" customFormat="true" ht="19.5" hidden="false" customHeight="true" outlineLevel="0" collapsed="false">
      <c r="A96" s="49" t="s">
        <v>264</v>
      </c>
      <c r="B96" s="47" t="s">
        <v>117</v>
      </c>
      <c r="C96" s="53" t="s">
        <v>265</v>
      </c>
      <c r="D96" s="68" t="s">
        <v>266</v>
      </c>
      <c r="E96" s="47" t="s">
        <v>267</v>
      </c>
      <c r="F96" s="54" t="s">
        <v>268</v>
      </c>
      <c r="G96" s="51" t="n">
        <v>1</v>
      </c>
      <c r="H96" s="66"/>
      <c r="I96" s="52" t="n">
        <v>34.99</v>
      </c>
      <c r="J96" s="52" t="n">
        <f aca="false">G96*I96</f>
        <v>34.99</v>
      </c>
      <c r="K96" s="4"/>
      <c r="XEW96" s="7"/>
      <c r="XEX96" s="6"/>
      <c r="XEY96" s="7"/>
    </row>
    <row r="97" s="1" customFormat="true" ht="19.5" hidden="false" customHeight="true" outlineLevel="0" collapsed="false">
      <c r="A97" s="49" t="s">
        <v>264</v>
      </c>
      <c r="B97" s="47" t="s">
        <v>176</v>
      </c>
      <c r="C97" s="53"/>
      <c r="D97" s="49"/>
      <c r="E97" s="47"/>
      <c r="F97" s="54"/>
      <c r="G97" s="51" t="n">
        <v>1</v>
      </c>
      <c r="H97" s="66"/>
      <c r="I97" s="52" t="n">
        <v>10</v>
      </c>
      <c r="J97" s="52" t="n">
        <f aca="false">G97*I97</f>
        <v>10</v>
      </c>
      <c r="K97" s="4"/>
      <c r="XEW97" s="7"/>
      <c r="XEX97" s="6"/>
      <c r="XEY97" s="7"/>
    </row>
    <row r="98" s="1" customFormat="true" ht="19.5" hidden="false" customHeight="true" outlineLevel="0" collapsed="false">
      <c r="A98" s="49" t="s">
        <v>264</v>
      </c>
      <c r="B98" s="48" t="s">
        <v>168</v>
      </c>
      <c r="C98" s="53"/>
      <c r="D98" s="49"/>
      <c r="E98" s="47"/>
      <c r="F98" s="54"/>
      <c r="G98" s="51"/>
      <c r="H98" s="66"/>
      <c r="I98" s="86"/>
      <c r="J98" s="91" t="n">
        <f aca="false">SUM(J96:J97)</f>
        <v>44.99</v>
      </c>
      <c r="K98" s="4"/>
      <c r="XEW98" s="7"/>
      <c r="XEX98" s="6"/>
      <c r="XEY98" s="7"/>
    </row>
    <row r="99" s="1" customFormat="true" ht="19.5" hidden="false" customHeight="true" outlineLevel="0" collapsed="false">
      <c r="A99" s="57"/>
      <c r="B99" s="80"/>
      <c r="C99" s="59"/>
      <c r="D99" s="60"/>
      <c r="E99" s="58"/>
      <c r="F99" s="61"/>
      <c r="G99" s="62"/>
      <c r="H99" s="63"/>
      <c r="I99" s="63"/>
      <c r="J99" s="63"/>
      <c r="K99" s="4"/>
      <c r="XEW99" s="7"/>
      <c r="XEX99" s="6"/>
      <c r="XEY99" s="7"/>
    </row>
    <row r="100" s="1" customFormat="true" ht="19.5" hidden="false" customHeight="true" outlineLevel="0" collapsed="false">
      <c r="A100" s="64" t="s">
        <v>269</v>
      </c>
      <c r="B100" s="28"/>
      <c r="C100" s="44"/>
      <c r="D100" s="69"/>
      <c r="E100" s="28"/>
      <c r="F100" s="30"/>
      <c r="G100" s="33"/>
      <c r="H100" s="34"/>
      <c r="I100" s="70"/>
      <c r="J100" s="34"/>
      <c r="K100" s="4"/>
      <c r="XEW100" s="7"/>
      <c r="XEX100" s="6"/>
      <c r="XEY100" s="7"/>
    </row>
    <row r="101" customFormat="false" ht="19.5" hidden="false" customHeight="true" outlineLevel="0" collapsed="false">
      <c r="A101" s="109" t="s">
        <v>269</v>
      </c>
      <c r="B101" s="47" t="s">
        <v>171</v>
      </c>
      <c r="C101" s="48" t="s">
        <v>270</v>
      </c>
      <c r="D101" s="49" t="s">
        <v>271</v>
      </c>
      <c r="E101" s="110"/>
      <c r="F101" s="110" t="s">
        <v>272</v>
      </c>
      <c r="G101" s="86" t="n">
        <v>8</v>
      </c>
      <c r="H101" s="111"/>
      <c r="I101" s="89" t="n">
        <v>0.06</v>
      </c>
      <c r="J101" s="52" t="n">
        <f aca="false">G101*I101</f>
        <v>0.48</v>
      </c>
      <c r="XET101" s="1"/>
      <c r="XEU101" s="1"/>
      <c r="XEV101" s="1"/>
    </row>
    <row r="102" customFormat="false" ht="19.5" hidden="false" customHeight="true" outlineLevel="0" collapsed="false">
      <c r="A102" s="109" t="s">
        <v>269</v>
      </c>
      <c r="B102" s="47" t="s">
        <v>57</v>
      </c>
      <c r="C102" s="48" t="s">
        <v>273</v>
      </c>
      <c r="D102" s="49" t="s">
        <v>274</v>
      </c>
      <c r="E102" s="110"/>
      <c r="F102" s="54" t="s">
        <v>275</v>
      </c>
      <c r="G102" s="86" t="n">
        <v>2</v>
      </c>
      <c r="H102" s="111"/>
      <c r="I102" s="89" t="n">
        <v>0.1</v>
      </c>
      <c r="J102" s="52" t="n">
        <f aca="false">G102*I102</f>
        <v>0.2</v>
      </c>
      <c r="XET102" s="1"/>
      <c r="XEU102" s="1"/>
      <c r="XEV102" s="1"/>
    </row>
    <row r="103" customFormat="false" ht="19.5" hidden="false" customHeight="true" outlineLevel="0" collapsed="false">
      <c r="A103" s="109" t="s">
        <v>269</v>
      </c>
      <c r="B103" s="47" t="s">
        <v>276</v>
      </c>
      <c r="C103" s="48" t="s">
        <v>277</v>
      </c>
      <c r="D103" s="49" t="s">
        <v>278</v>
      </c>
      <c r="E103" s="110"/>
      <c r="F103" s="110" t="s">
        <v>279</v>
      </c>
      <c r="G103" s="86" t="n">
        <v>12</v>
      </c>
      <c r="H103" s="111"/>
      <c r="I103" s="89" t="n">
        <v>0.11</v>
      </c>
      <c r="J103" s="52" t="n">
        <f aca="false">G103*I103</f>
        <v>1.32</v>
      </c>
      <c r="K103" s="4" t="s">
        <v>280</v>
      </c>
      <c r="XET103" s="1"/>
      <c r="XEU103" s="1"/>
      <c r="XEV103" s="1"/>
    </row>
    <row r="104" customFormat="false" ht="19.5" hidden="false" customHeight="true" outlineLevel="0" collapsed="false">
      <c r="A104" s="109" t="s">
        <v>269</v>
      </c>
      <c r="B104" s="47" t="s">
        <v>276</v>
      </c>
      <c r="C104" s="48" t="s">
        <v>281</v>
      </c>
      <c r="D104" s="49" t="s">
        <v>282</v>
      </c>
      <c r="E104" s="110"/>
      <c r="F104" s="110" t="s">
        <v>283</v>
      </c>
      <c r="G104" s="86" t="n">
        <v>7</v>
      </c>
      <c r="H104" s="111"/>
      <c r="I104" s="89" t="n">
        <v>0.06</v>
      </c>
      <c r="J104" s="52" t="n">
        <f aca="false">G104*I104</f>
        <v>0.42</v>
      </c>
      <c r="XET104" s="1"/>
      <c r="XEU104" s="1"/>
      <c r="XEV104" s="1"/>
    </row>
    <row r="105" customFormat="false" ht="19.5" hidden="false" customHeight="true" outlineLevel="0" collapsed="false">
      <c r="A105" s="109" t="s">
        <v>269</v>
      </c>
      <c r="B105" s="47" t="s">
        <v>108</v>
      </c>
      <c r="C105" s="48" t="s">
        <v>284</v>
      </c>
      <c r="D105" s="49" t="s">
        <v>285</v>
      </c>
      <c r="E105" s="47"/>
      <c r="F105" s="54" t="s">
        <v>286</v>
      </c>
      <c r="G105" s="51" t="n">
        <v>4</v>
      </c>
      <c r="H105" s="66"/>
      <c r="I105" s="52" t="n">
        <v>0.1</v>
      </c>
      <c r="J105" s="52" t="n">
        <f aca="false">G105*I105</f>
        <v>0.4</v>
      </c>
      <c r="XET105" s="1"/>
      <c r="XEU105" s="1"/>
      <c r="XEV105" s="1"/>
    </row>
    <row r="106" customFormat="false" ht="19.5" hidden="false" customHeight="true" outlineLevel="0" collapsed="false">
      <c r="A106" s="109" t="s">
        <v>269</v>
      </c>
      <c r="B106" s="47" t="s">
        <v>287</v>
      </c>
      <c r="C106" s="48" t="s">
        <v>288</v>
      </c>
      <c r="D106" s="112" t="s">
        <v>289</v>
      </c>
      <c r="E106" s="47"/>
      <c r="F106" s="54" t="s">
        <v>290</v>
      </c>
      <c r="G106" s="51" t="n">
        <v>2</v>
      </c>
      <c r="H106" s="66"/>
      <c r="I106" s="52" t="n">
        <v>1.47</v>
      </c>
      <c r="J106" s="52" t="n">
        <f aca="false">G106*I106</f>
        <v>2.94</v>
      </c>
      <c r="XET106" s="1"/>
      <c r="XEU106" s="1"/>
      <c r="XEV106" s="1"/>
    </row>
    <row r="107" customFormat="false" ht="19.5" hidden="false" customHeight="true" outlineLevel="0" collapsed="false">
      <c r="A107" s="109" t="s">
        <v>269</v>
      </c>
      <c r="B107" s="47" t="s">
        <v>287</v>
      </c>
      <c r="C107" s="48" t="s">
        <v>291</v>
      </c>
      <c r="D107" s="112" t="s">
        <v>292</v>
      </c>
      <c r="E107" s="47"/>
      <c r="F107" s="54" t="s">
        <v>293</v>
      </c>
      <c r="G107" s="51" t="n">
        <v>2</v>
      </c>
      <c r="H107" s="66"/>
      <c r="I107" s="52" t="n">
        <v>0.07</v>
      </c>
      <c r="J107" s="52" t="n">
        <f aca="false">G107*I107</f>
        <v>0.14</v>
      </c>
      <c r="XET107" s="7"/>
      <c r="XEU107" s="7"/>
      <c r="XEV107" s="7"/>
      <c r="XEX107" s="7"/>
    </row>
    <row r="108" customFormat="false" ht="19.5" hidden="false" customHeight="true" outlineLevel="0" collapsed="false">
      <c r="A108" s="109" t="s">
        <v>269</v>
      </c>
      <c r="B108" s="47" t="s">
        <v>287</v>
      </c>
      <c r="C108" s="48" t="s">
        <v>294</v>
      </c>
      <c r="D108" s="112" t="s">
        <v>295</v>
      </c>
      <c r="E108" s="47"/>
      <c r="F108" s="54" t="s">
        <v>296</v>
      </c>
      <c r="G108" s="51" t="n">
        <v>10</v>
      </c>
      <c r="H108" s="66"/>
      <c r="I108" s="52" t="n">
        <v>0.26</v>
      </c>
      <c r="J108" s="52" t="n">
        <f aca="false">G108*I108</f>
        <v>2.6</v>
      </c>
      <c r="XET108" s="7"/>
      <c r="XEU108" s="7"/>
      <c r="XEV108" s="7"/>
    </row>
    <row r="109" customFormat="false" ht="19.5" hidden="false" customHeight="true" outlineLevel="0" collapsed="false">
      <c r="A109" s="109" t="s">
        <v>269</v>
      </c>
      <c r="B109" s="47" t="s">
        <v>287</v>
      </c>
      <c r="C109" s="48" t="s">
        <v>297</v>
      </c>
      <c r="D109" s="112" t="s">
        <v>298</v>
      </c>
      <c r="E109" s="47"/>
      <c r="F109" s="54" t="s">
        <v>299</v>
      </c>
      <c r="G109" s="51" t="n">
        <v>10</v>
      </c>
      <c r="H109" s="66"/>
      <c r="I109" s="52" t="n">
        <v>0.11</v>
      </c>
      <c r="J109" s="52" t="n">
        <f aca="false">G109*I109</f>
        <v>1.1</v>
      </c>
      <c r="XET109" s="7"/>
      <c r="XEU109" s="7"/>
      <c r="XEV109" s="7"/>
    </row>
    <row r="110" customFormat="false" ht="19.5" hidden="false" customHeight="true" outlineLevel="0" collapsed="false">
      <c r="A110" s="109" t="s">
        <v>269</v>
      </c>
      <c r="B110" s="47" t="s">
        <v>287</v>
      </c>
      <c r="C110" s="48" t="s">
        <v>300</v>
      </c>
      <c r="D110" s="112" t="s">
        <v>301</v>
      </c>
      <c r="E110" s="47"/>
      <c r="F110" s="54" t="s">
        <v>302</v>
      </c>
      <c r="G110" s="51" t="n">
        <v>8</v>
      </c>
      <c r="H110" s="66"/>
      <c r="I110" s="52" t="n">
        <v>0.1</v>
      </c>
      <c r="J110" s="52" t="n">
        <f aca="false">G110*I110</f>
        <v>0.8</v>
      </c>
      <c r="XET110" s="7"/>
      <c r="XEU110" s="7"/>
      <c r="XEV110" s="7"/>
    </row>
    <row r="111" customFormat="false" ht="19.5" hidden="false" customHeight="true" outlineLevel="0" collapsed="false">
      <c r="A111" s="109" t="s">
        <v>269</v>
      </c>
      <c r="B111" s="47" t="s">
        <v>250</v>
      </c>
      <c r="C111" s="48" t="s">
        <v>303</v>
      </c>
      <c r="D111" s="112" t="s">
        <v>304</v>
      </c>
      <c r="E111" s="47"/>
      <c r="F111" s="49" t="s">
        <v>305</v>
      </c>
      <c r="G111" s="51" t="n">
        <v>4</v>
      </c>
      <c r="H111" s="66"/>
      <c r="I111" s="52" t="n">
        <v>1.05</v>
      </c>
      <c r="J111" s="52" t="n">
        <f aca="false">G111*I111</f>
        <v>4.2</v>
      </c>
      <c r="XET111" s="7"/>
      <c r="XEU111" s="7"/>
      <c r="XEV111" s="7"/>
    </row>
    <row r="112" customFormat="false" ht="19.5" hidden="false" customHeight="true" outlineLevel="0" collapsed="false">
      <c r="A112" s="109" t="s">
        <v>269</v>
      </c>
      <c r="B112" s="47" t="s">
        <v>250</v>
      </c>
      <c r="C112" s="48" t="s">
        <v>306</v>
      </c>
      <c r="D112" s="112" t="s">
        <v>307</v>
      </c>
      <c r="E112" s="47"/>
      <c r="F112" s="49" t="s">
        <v>308</v>
      </c>
      <c r="G112" s="51" t="n">
        <v>4</v>
      </c>
      <c r="H112" s="66"/>
      <c r="I112" s="52" t="n">
        <v>0.09</v>
      </c>
      <c r="J112" s="52" t="n">
        <f aca="false">G112*I112</f>
        <v>0.36</v>
      </c>
      <c r="XET112" s="7"/>
      <c r="XEU112" s="7"/>
      <c r="XEV112" s="7"/>
    </row>
    <row r="113" customFormat="false" ht="19.5" hidden="false" customHeight="true" outlineLevel="0" collapsed="false">
      <c r="A113" s="109" t="s">
        <v>269</v>
      </c>
      <c r="B113" s="47" t="s">
        <v>250</v>
      </c>
      <c r="C113" s="48" t="s">
        <v>309</v>
      </c>
      <c r="D113" s="112" t="s">
        <v>310</v>
      </c>
      <c r="E113" s="47"/>
      <c r="F113" s="49" t="s">
        <v>311</v>
      </c>
      <c r="G113" s="51" t="n">
        <v>2</v>
      </c>
      <c r="H113" s="66"/>
      <c r="I113" s="52" t="n">
        <v>0.18</v>
      </c>
      <c r="J113" s="52" t="n">
        <f aca="false">G113*I113</f>
        <v>0.36</v>
      </c>
      <c r="XET113" s="7"/>
      <c r="XEU113" s="7"/>
      <c r="XEV113" s="7"/>
    </row>
    <row r="114" customFormat="false" ht="19.5" hidden="false" customHeight="true" outlineLevel="0" collapsed="false">
      <c r="A114" s="109" t="s">
        <v>269</v>
      </c>
      <c r="B114" s="47" t="s">
        <v>250</v>
      </c>
      <c r="C114" s="48" t="s">
        <v>312</v>
      </c>
      <c r="D114" s="112" t="s">
        <v>313</v>
      </c>
      <c r="E114" s="47"/>
      <c r="F114" s="49" t="s">
        <v>314</v>
      </c>
      <c r="G114" s="51" t="n">
        <v>4</v>
      </c>
      <c r="H114" s="66"/>
      <c r="I114" s="52" t="n">
        <v>0.08</v>
      </c>
      <c r="J114" s="52" t="n">
        <f aca="false">G114*I114</f>
        <v>0.32</v>
      </c>
      <c r="XET114" s="7"/>
      <c r="XEU114" s="7"/>
      <c r="XEV114" s="7"/>
    </row>
    <row r="115" customFormat="false" ht="19.5" hidden="false" customHeight="true" outlineLevel="0" collapsed="false">
      <c r="A115" s="109" t="s">
        <v>269</v>
      </c>
      <c r="B115" s="47" t="s">
        <v>250</v>
      </c>
      <c r="C115" s="48" t="s">
        <v>315</v>
      </c>
      <c r="D115" s="112" t="s">
        <v>316</v>
      </c>
      <c r="E115" s="47"/>
      <c r="F115" s="49" t="s">
        <v>317</v>
      </c>
      <c r="G115" s="51" t="n">
        <v>1</v>
      </c>
      <c r="H115" s="66"/>
      <c r="I115" s="52" t="n">
        <v>0.18</v>
      </c>
      <c r="J115" s="52" t="n">
        <f aca="false">G115*I115</f>
        <v>0.18</v>
      </c>
      <c r="XET115" s="7"/>
      <c r="XEU115" s="7"/>
      <c r="XEV115" s="7"/>
    </row>
    <row r="116" customFormat="false" ht="19.5" hidden="false" customHeight="true" outlineLevel="0" collapsed="false">
      <c r="A116" s="109" t="s">
        <v>269</v>
      </c>
      <c r="B116" s="47" t="s">
        <v>250</v>
      </c>
      <c r="C116" s="48" t="s">
        <v>318</v>
      </c>
      <c r="D116" s="112" t="s">
        <v>319</v>
      </c>
      <c r="E116" s="47"/>
      <c r="F116" s="49" t="s">
        <v>320</v>
      </c>
      <c r="G116" s="51" t="n">
        <v>1</v>
      </c>
      <c r="H116" s="66"/>
      <c r="I116" s="52" t="n">
        <v>2.38</v>
      </c>
      <c r="J116" s="52" t="n">
        <f aca="false">G116*I116</f>
        <v>2.38</v>
      </c>
      <c r="XET116" s="7"/>
      <c r="XEU116" s="7"/>
      <c r="XEV116" s="7"/>
    </row>
    <row r="117" customFormat="false" ht="19.5" hidden="false" customHeight="true" outlineLevel="0" collapsed="false">
      <c r="A117" s="109" t="s">
        <v>269</v>
      </c>
      <c r="B117" s="47" t="s">
        <v>250</v>
      </c>
      <c r="C117" s="48" t="s">
        <v>321</v>
      </c>
      <c r="D117" s="112" t="s">
        <v>322</v>
      </c>
      <c r="E117" s="47"/>
      <c r="F117" s="49" t="s">
        <v>323</v>
      </c>
      <c r="G117" s="51" t="n">
        <v>2</v>
      </c>
      <c r="H117" s="66"/>
      <c r="I117" s="52" t="n">
        <v>1.08</v>
      </c>
      <c r="J117" s="52" t="n">
        <f aca="false">G117*I117</f>
        <v>2.16</v>
      </c>
      <c r="XET117" s="7"/>
      <c r="XEU117" s="7"/>
      <c r="XEV117" s="7"/>
    </row>
    <row r="118" customFormat="false" ht="19.5" hidden="false" customHeight="true" outlineLevel="0" collapsed="false">
      <c r="A118" s="109" t="s">
        <v>269</v>
      </c>
      <c r="B118" s="47" t="s">
        <v>250</v>
      </c>
      <c r="C118" s="48" t="s">
        <v>324</v>
      </c>
      <c r="D118" s="112" t="s">
        <v>325</v>
      </c>
      <c r="E118" s="47"/>
      <c r="F118" s="49" t="s">
        <v>326</v>
      </c>
      <c r="G118" s="51" t="n">
        <v>1</v>
      </c>
      <c r="H118" s="66"/>
      <c r="I118" s="52" t="n">
        <v>0.86</v>
      </c>
      <c r="J118" s="52" t="n">
        <f aca="false">G118*I118</f>
        <v>0.86</v>
      </c>
      <c r="XET118" s="7"/>
      <c r="XEU118" s="7"/>
      <c r="XEV118" s="7"/>
    </row>
    <row r="119" customFormat="false" ht="19.5" hidden="false" customHeight="true" outlineLevel="0" collapsed="false">
      <c r="A119" s="109" t="s">
        <v>269</v>
      </c>
      <c r="B119" s="47" t="s">
        <v>246</v>
      </c>
      <c r="C119" s="48" t="s">
        <v>327</v>
      </c>
      <c r="D119" s="112" t="s">
        <v>328</v>
      </c>
      <c r="E119" s="47"/>
      <c r="F119" s="54" t="s">
        <v>329</v>
      </c>
      <c r="G119" s="51" t="n">
        <v>1</v>
      </c>
      <c r="H119" s="66"/>
      <c r="I119" s="52" t="n">
        <v>3.18</v>
      </c>
      <c r="J119" s="52" t="n">
        <f aca="false">G119*I119</f>
        <v>3.18</v>
      </c>
      <c r="XET119" s="7"/>
      <c r="XEU119" s="7"/>
      <c r="XEV119" s="7"/>
    </row>
    <row r="120" customFormat="false" ht="19.5" hidden="false" customHeight="true" outlineLevel="0" collapsed="false">
      <c r="A120" s="109" t="s">
        <v>269</v>
      </c>
      <c r="B120" s="47" t="s">
        <v>246</v>
      </c>
      <c r="C120" s="48" t="s">
        <v>330</v>
      </c>
      <c r="D120" s="112" t="s">
        <v>331</v>
      </c>
      <c r="E120" s="47"/>
      <c r="F120" s="49" t="s">
        <v>332</v>
      </c>
      <c r="G120" s="51" t="n">
        <v>2</v>
      </c>
      <c r="H120" s="66"/>
      <c r="I120" s="52" t="n">
        <v>0.21</v>
      </c>
      <c r="J120" s="52" t="n">
        <f aca="false">G120*I120</f>
        <v>0.42</v>
      </c>
      <c r="XET120" s="7"/>
      <c r="XEU120" s="7"/>
      <c r="XEV120" s="7"/>
    </row>
    <row r="121" customFormat="false" ht="19.5" hidden="false" customHeight="true" outlineLevel="0" collapsed="false">
      <c r="A121" s="109" t="s">
        <v>269</v>
      </c>
      <c r="B121" s="47" t="s">
        <v>246</v>
      </c>
      <c r="C121" s="48" t="s">
        <v>333</v>
      </c>
      <c r="D121" s="112" t="s">
        <v>334</v>
      </c>
      <c r="E121" s="47"/>
      <c r="F121" s="54" t="s">
        <v>335</v>
      </c>
      <c r="G121" s="51" t="n">
        <v>1</v>
      </c>
      <c r="H121" s="66"/>
      <c r="I121" s="52" t="n">
        <v>0.43</v>
      </c>
      <c r="J121" s="52" t="n">
        <f aca="false">G121*I121</f>
        <v>0.43</v>
      </c>
      <c r="XET121" s="7"/>
      <c r="XEU121" s="7"/>
      <c r="XEV121" s="7"/>
    </row>
    <row r="122" customFormat="false" ht="19.5" hidden="false" customHeight="true" outlineLevel="0" collapsed="false">
      <c r="A122" s="71" t="s">
        <v>269</v>
      </c>
      <c r="B122" s="113" t="s">
        <v>336</v>
      </c>
      <c r="C122" s="29" t="s">
        <v>337</v>
      </c>
      <c r="D122" s="30" t="s">
        <v>338</v>
      </c>
      <c r="E122" s="113"/>
      <c r="F122" s="32" t="s">
        <v>339</v>
      </c>
      <c r="G122" s="33" t="n">
        <v>4</v>
      </c>
      <c r="H122" s="34"/>
      <c r="I122" s="77" t="n">
        <v>0.09</v>
      </c>
      <c r="J122" s="34" t="n">
        <f aca="false">G122*I122</f>
        <v>0.36</v>
      </c>
      <c r="XET122" s="7"/>
      <c r="XEU122" s="7"/>
      <c r="XEV122" s="7"/>
    </row>
    <row r="123" customFormat="false" ht="19.5" hidden="false" customHeight="true" outlineLevel="0" collapsed="false">
      <c r="A123" s="71" t="s">
        <v>269</v>
      </c>
      <c r="B123" s="113" t="s">
        <v>336</v>
      </c>
      <c r="C123" s="29" t="s">
        <v>340</v>
      </c>
      <c r="D123" s="30" t="s">
        <v>341</v>
      </c>
      <c r="E123" s="113"/>
      <c r="F123" s="32" t="s">
        <v>342</v>
      </c>
      <c r="G123" s="33" t="n">
        <v>2</v>
      </c>
      <c r="H123" s="34"/>
      <c r="I123" s="77" t="n">
        <v>0.05</v>
      </c>
      <c r="J123" s="34" t="n">
        <f aca="false">G123*I123</f>
        <v>0.1</v>
      </c>
      <c r="XET123" s="7"/>
      <c r="XEU123" s="7"/>
      <c r="XEV123" s="7"/>
    </row>
    <row r="124" customFormat="false" ht="19.5" hidden="false" customHeight="true" outlineLevel="0" collapsed="false">
      <c r="A124" s="109" t="s">
        <v>269</v>
      </c>
      <c r="B124" s="47" t="s">
        <v>176</v>
      </c>
      <c r="C124" s="48"/>
      <c r="D124" s="49"/>
      <c r="E124" s="47"/>
      <c r="F124" s="49"/>
      <c r="G124" s="51" t="n">
        <v>1</v>
      </c>
      <c r="H124" s="66"/>
      <c r="I124" s="52" t="n">
        <v>10</v>
      </c>
      <c r="J124" s="52" t="n">
        <f aca="false">G124*I124</f>
        <v>10</v>
      </c>
      <c r="XET124" s="7"/>
      <c r="XEU124" s="7"/>
      <c r="XEV124" s="7"/>
    </row>
    <row r="125" customFormat="false" ht="19.5" hidden="false" customHeight="true" outlineLevel="0" collapsed="false">
      <c r="A125" s="109" t="s">
        <v>269</v>
      </c>
      <c r="B125" s="48" t="s">
        <v>168</v>
      </c>
      <c r="C125" s="48"/>
      <c r="D125" s="49"/>
      <c r="E125" s="47"/>
      <c r="F125" s="49"/>
      <c r="G125" s="51"/>
      <c r="H125" s="66"/>
      <c r="I125" s="52"/>
      <c r="J125" s="91" t="n">
        <f aca="false">SUM(J101:J124)</f>
        <v>35.71</v>
      </c>
      <c r="XET125" s="7"/>
      <c r="XEU125" s="7"/>
      <c r="XEV125" s="7"/>
    </row>
    <row r="126" customFormat="false" ht="19.5" hidden="false" customHeight="true" outlineLevel="0" collapsed="false">
      <c r="A126" s="114"/>
      <c r="B126" s="96"/>
      <c r="C126" s="96"/>
      <c r="D126" s="95"/>
      <c r="E126" s="96"/>
      <c r="F126" s="95"/>
      <c r="G126" s="98"/>
      <c r="H126" s="99"/>
      <c r="I126" s="101"/>
      <c r="J126" s="101"/>
      <c r="XET126" s="7"/>
      <c r="XEU126" s="7"/>
      <c r="XEV126" s="7"/>
    </row>
    <row r="127" customFormat="false" ht="19.5" hidden="false" customHeight="true" outlineLevel="0" collapsed="false">
      <c r="A127" s="115" t="s">
        <v>343</v>
      </c>
      <c r="B127" s="116"/>
      <c r="C127" s="29"/>
      <c r="D127" s="110"/>
      <c r="E127" s="113"/>
      <c r="F127" s="30"/>
      <c r="G127" s="33"/>
      <c r="H127" s="34"/>
      <c r="I127" s="77"/>
      <c r="J127" s="34"/>
      <c r="XET127" s="7"/>
      <c r="XEU127" s="7"/>
      <c r="XEV127" s="7"/>
    </row>
    <row r="128" customFormat="false" ht="19.5" hidden="false" customHeight="true" outlineLevel="0" collapsed="false">
      <c r="A128" s="33" t="s">
        <v>343</v>
      </c>
      <c r="B128" s="113" t="s">
        <v>344</v>
      </c>
      <c r="C128" s="28" t="s">
        <v>344</v>
      </c>
      <c r="D128" s="30" t="s">
        <v>345</v>
      </c>
      <c r="E128" s="113"/>
      <c r="F128" s="32" t="s">
        <v>346</v>
      </c>
      <c r="G128" s="33" t="n">
        <v>1</v>
      </c>
      <c r="H128" s="34" t="n">
        <v>332.92</v>
      </c>
      <c r="I128" s="77" t="n">
        <v>399.5</v>
      </c>
      <c r="J128" s="34" t="n">
        <f aca="false">G128*I128</f>
        <v>399.5</v>
      </c>
      <c r="XET128" s="7"/>
      <c r="XEU128" s="7"/>
      <c r="XEV128" s="7"/>
    </row>
    <row r="129" customFormat="false" ht="19.5" hidden="false" customHeight="true" outlineLevel="0" collapsed="false">
      <c r="A129" s="33" t="s">
        <v>343</v>
      </c>
      <c r="B129" s="113" t="s">
        <v>176</v>
      </c>
      <c r="C129" s="29"/>
      <c r="D129" s="30"/>
      <c r="E129" s="113"/>
      <c r="F129" s="30"/>
      <c r="G129" s="33" t="n">
        <v>0</v>
      </c>
      <c r="H129" s="34"/>
      <c r="I129" s="77"/>
      <c r="J129" s="34" t="n">
        <f aca="false">G129*I129</f>
        <v>0</v>
      </c>
      <c r="XET129" s="7"/>
      <c r="XEU129" s="7"/>
      <c r="XEV129" s="7"/>
    </row>
    <row r="130" customFormat="false" ht="19.5" hidden="false" customHeight="true" outlineLevel="0" collapsed="false">
      <c r="A130" s="33" t="s">
        <v>343</v>
      </c>
      <c r="B130" s="116" t="s">
        <v>168</v>
      </c>
      <c r="C130" s="29"/>
      <c r="D130" s="30"/>
      <c r="E130" s="113"/>
      <c r="F130" s="30"/>
      <c r="G130" s="33"/>
      <c r="H130" s="34"/>
      <c r="I130" s="77"/>
      <c r="J130" s="56" t="n">
        <f aca="false">SUM(J128:J129)</f>
        <v>399.5</v>
      </c>
      <c r="XET130" s="7"/>
      <c r="XEU130" s="7"/>
      <c r="XEV130" s="7"/>
    </row>
    <row r="131" customFormat="false" ht="13.5" hidden="false" customHeight="false" outlineLevel="0" collapsed="false">
      <c r="XET131" s="7"/>
      <c r="XEU131" s="7"/>
      <c r="XEV131" s="7"/>
    </row>
    <row r="132" customFormat="false" ht="13.5" hidden="false" customHeight="false" outlineLevel="0" collapsed="false">
      <c r="XET132" s="7"/>
      <c r="XEU132" s="7"/>
      <c r="XEV132" s="7"/>
    </row>
    <row r="133" customFormat="false" ht="13.5" hidden="false" customHeight="false" outlineLevel="0" collapsed="false">
      <c r="XET133" s="1"/>
      <c r="XEU133" s="1"/>
      <c r="XEV133" s="1"/>
    </row>
    <row r="134" customFormat="false" ht="17.25" hidden="false" customHeight="false" outlineLevel="0" collapsed="false">
      <c r="I134" s="117" t="s">
        <v>347</v>
      </c>
      <c r="J134" s="117" t="e">
        <f aca="false">J43+J48+J54+J69+J74+#REF!+J81+J86+J93+J98+J125+J130</f>
        <v>#REF!</v>
      </c>
      <c r="XET134" s="1"/>
      <c r="XEU134" s="1"/>
      <c r="XEV134" s="1"/>
    </row>
    <row r="135" customFormat="false" ht="13.5" hidden="false" customHeight="false" outlineLevel="0" collapsed="false">
      <c r="XET135" s="1"/>
      <c r="XEU135" s="1"/>
      <c r="XEV135" s="1"/>
    </row>
    <row r="136" customFormat="false" ht="13.5" hidden="false" customHeight="false" outlineLevel="0" collapsed="false">
      <c r="XET136" s="1"/>
      <c r="XEU136" s="1"/>
      <c r="XEV136" s="1"/>
    </row>
    <row r="137" customFormat="false" ht="13.5" hidden="false" customHeight="false" outlineLevel="0" collapsed="false">
      <c r="XET137" s="1"/>
      <c r="XEU137" s="1"/>
      <c r="XEV137" s="1"/>
    </row>
    <row r="138" customFormat="false" ht="13.5" hidden="false" customHeight="false" outlineLevel="0" collapsed="false">
      <c r="XET138" s="1"/>
      <c r="XEU138" s="1"/>
      <c r="XEV138" s="1"/>
    </row>
    <row r="139" customFormat="false" ht="13.5" hidden="false" customHeight="false" outlineLevel="0" collapsed="false">
      <c r="XET139" s="1"/>
      <c r="XEU139" s="1"/>
      <c r="XEV139" s="1"/>
    </row>
    <row r="140" customFormat="false" ht="13.5" hidden="false" customHeight="false" outlineLevel="0" collapsed="false">
      <c r="XET140" s="1"/>
      <c r="XEU140" s="1"/>
      <c r="XEV140" s="1"/>
    </row>
    <row r="141" customFormat="false" ht="13.5" hidden="false" customHeight="false" outlineLevel="0" collapsed="false">
      <c r="XET141" s="1"/>
      <c r="XEU141" s="1"/>
      <c r="XEV141" s="1"/>
    </row>
    <row r="142" customFormat="false" ht="13.5" hidden="false" customHeight="false" outlineLevel="0" collapsed="false">
      <c r="XET142" s="1"/>
      <c r="XEU142" s="1"/>
      <c r="XEV142" s="1"/>
    </row>
    <row r="143" customFormat="false" ht="13.5" hidden="false" customHeight="false" outlineLevel="0" collapsed="false">
      <c r="XET143" s="1"/>
      <c r="XEU143" s="1"/>
      <c r="XEV143" s="1"/>
    </row>
    <row r="144" customFormat="false" ht="13.5" hidden="false" customHeight="false" outlineLevel="0" collapsed="false">
      <c r="XET144" s="1"/>
      <c r="XEU144" s="1"/>
      <c r="XEV144" s="1"/>
    </row>
    <row r="145" customFormat="false" ht="13.5" hidden="false" customHeight="false" outlineLevel="0" collapsed="false">
      <c r="XET145" s="1"/>
      <c r="XEU145" s="1"/>
      <c r="XEV145" s="1"/>
    </row>
    <row r="146" customFormat="false" ht="13.5" hidden="false" customHeight="false" outlineLevel="0" collapsed="false">
      <c r="XET146" s="1"/>
      <c r="XEU146" s="1"/>
      <c r="XEV146" s="1"/>
    </row>
    <row r="147" customFormat="false" ht="13.5" hidden="false" customHeight="false" outlineLevel="0" collapsed="false">
      <c r="XET147" s="1"/>
      <c r="XEU147" s="1"/>
      <c r="XEV147" s="1"/>
    </row>
    <row r="148" customFormat="false" ht="13.5" hidden="false" customHeight="false" outlineLevel="0" collapsed="false">
      <c r="XET148" s="1"/>
      <c r="XEU148" s="1"/>
      <c r="XEV148" s="1"/>
    </row>
    <row r="149" customFormat="false" ht="13.5" hidden="false" customHeight="false" outlineLevel="0" collapsed="false">
      <c r="XET149" s="1"/>
      <c r="XEU149" s="1"/>
      <c r="XEV149" s="1"/>
    </row>
    <row r="150" customFormat="false" ht="13.5" hidden="false" customHeight="false" outlineLevel="0" collapsed="false">
      <c r="XET150" s="1"/>
      <c r="XEU150" s="1"/>
      <c r="XEV150" s="1"/>
    </row>
    <row r="151" customFormat="false" ht="13.5" hidden="false" customHeight="false" outlineLevel="0" collapsed="false">
      <c r="XET151" s="1"/>
      <c r="XEU151" s="1"/>
      <c r="XEV151" s="1"/>
    </row>
    <row r="152" customFormat="false" ht="13.5" hidden="false" customHeight="false" outlineLevel="0" collapsed="false">
      <c r="XET152" s="1"/>
      <c r="XEU152" s="1"/>
      <c r="XEV152" s="1"/>
    </row>
    <row r="153" customFormat="false" ht="13.5" hidden="false" customHeight="false" outlineLevel="0" collapsed="false">
      <c r="XET153" s="1"/>
      <c r="XEU153" s="1"/>
      <c r="XEV153" s="1"/>
    </row>
    <row r="154" customFormat="false" ht="13.5" hidden="false" customHeight="false" outlineLevel="0" collapsed="false">
      <c r="XET154" s="1"/>
      <c r="XEU154" s="1"/>
      <c r="XEV154" s="1"/>
    </row>
    <row r="155" customFormat="false" ht="13.5" hidden="false" customHeight="false" outlineLevel="0" collapsed="false">
      <c r="XET155" s="1"/>
      <c r="XEU155" s="1"/>
      <c r="XEV155" s="1"/>
    </row>
    <row r="156" customFormat="false" ht="13.5" hidden="false" customHeight="false" outlineLevel="0" collapsed="false">
      <c r="XET156" s="1"/>
      <c r="XEU156" s="1"/>
      <c r="XEV156" s="1"/>
    </row>
    <row r="157" customFormat="false" ht="13.5" hidden="false" customHeight="false" outlineLevel="0" collapsed="false">
      <c r="XET157" s="1"/>
      <c r="XEU157" s="1"/>
      <c r="XEV157" s="1"/>
    </row>
    <row r="158" customFormat="false" ht="13.5" hidden="false" customHeight="false" outlineLevel="0" collapsed="false">
      <c r="XET158" s="1"/>
      <c r="XEU158" s="1"/>
      <c r="XEV158" s="1"/>
    </row>
    <row r="159" customFormat="false" ht="13.5" hidden="false" customHeight="false" outlineLevel="0" collapsed="false">
      <c r="XET159" s="1"/>
      <c r="XEU159" s="1"/>
      <c r="XEV159" s="1"/>
    </row>
    <row r="160" customFormat="false" ht="13.5" hidden="false" customHeight="false" outlineLevel="0" collapsed="false">
      <c r="XET160" s="1"/>
      <c r="XEU160" s="1"/>
      <c r="XEV160" s="1"/>
    </row>
    <row r="161" customFormat="false" ht="13.5" hidden="false" customHeight="false" outlineLevel="0" collapsed="false">
      <c r="XET161" s="1"/>
      <c r="XEU161" s="1"/>
      <c r="XEV161" s="1"/>
    </row>
    <row r="162" customFormat="false" ht="13.5" hidden="false" customHeight="false" outlineLevel="0" collapsed="false">
      <c r="XET162" s="1"/>
      <c r="XEU162" s="1"/>
      <c r="XEV162" s="1"/>
    </row>
    <row r="163" customFormat="false" ht="13.5" hidden="false" customHeight="false" outlineLevel="0" collapsed="false">
      <c r="XET163" s="1"/>
      <c r="XEU163" s="1"/>
      <c r="XEV163" s="1"/>
    </row>
    <row r="164" customFormat="false" ht="13.5" hidden="false" customHeight="false" outlineLevel="0" collapsed="false">
      <c r="XET164" s="1"/>
      <c r="XEU164" s="1"/>
      <c r="XEV164" s="1"/>
    </row>
    <row r="165" customFormat="false" ht="13.5" hidden="false" customHeight="false" outlineLevel="0" collapsed="false">
      <c r="XET165" s="1"/>
      <c r="XEU165" s="1"/>
      <c r="XEV165" s="1"/>
    </row>
    <row r="166" customFormat="false" ht="13.5" hidden="false" customHeight="false" outlineLevel="0" collapsed="false">
      <c r="XET166" s="1"/>
      <c r="XEU166" s="1"/>
      <c r="XEV166" s="1"/>
    </row>
    <row r="167" customFormat="false" ht="13.5" hidden="false" customHeight="false" outlineLevel="0" collapsed="false">
      <c r="XET167" s="1"/>
      <c r="XEU167" s="1"/>
      <c r="XEV167" s="1"/>
    </row>
  </sheetData>
  <mergeCells count="1">
    <mergeCell ref="C1:D1"/>
  </mergeCells>
  <hyperlinks>
    <hyperlink ref="F5" r:id="rId1" display="https://www.gotronic.fr/art-carte-raspberry-pi-5-2-gb-39733.htm"/>
    <hyperlink ref="F6" r:id="rId2" display="https://www.gotronic.fr/art-batterie-rtc-pour-raspberry-pi-5-38451.htm"/>
    <hyperlink ref="F7" r:id="rId3" display="https://www.gotronic.fr/art-radiateurs-economiques-pour-raspberry-pi-4b-32410.htm"/>
    <hyperlink ref="F9" r:id="rId4" display="https://www.gotronic.fr/art-nappe-camera-pour-pi-zero-rb0-cam-15-33987.htm"/>
    <hyperlink ref="F10" r:id="rId5" display="https://www.gotronic.fr/art-recepteur-gps-miniature-tel0132-32438.htm"/>
    <hyperlink ref="F11" r:id="rId6" display="https://www.gotronic.fr/art-capteur-de-couleurs-rgb-isl29125-sen-12829-35375.htm"/>
    <hyperlink ref="F12" r:id="rId7" display="https://www.gotronic.fr/art-magnetometre-3-axes-bmm150-sen0419-35122.htm"/>
    <hyperlink ref="F14" r:id="rId8" display="https://www.gotronic.fr/art-bornier-ark02z-39582.htm"/>
    <hyperlink ref="F15" r:id="rId9" display="https://www.gotronic.fr/art-connecteur-2x20-broches-he40rpi-28118.htm"/>
    <hyperlink ref="F19" r:id="rId10" display="https://www.gotronic.fr/art-5-resistances-1-2w-10-k-8486-270.htm"/>
    <hyperlink ref="F20" r:id="rId11" display="https://www.gotronic.fr/art-epoxy-brut-1-face-233.htm"/>
    <hyperlink ref="F27" r:id="rId12" display="https://www.gotronic.fr/art-driver-de-moteur-pas-a-pas-drv8825-2133-22273.htm"/>
    <hyperlink ref="F28" r:id="rId13" display="https://www.gotronic.fr/art-fil-de-cablage-fc75n-15203.htm"/>
    <hyperlink ref="F29" r:id="rId14" display="https://www.gotronic.fr/art-fil-de-cablage-fc75r-15206.htm"/>
    <hyperlink ref="F30" r:id="rId15" display="https://www.gotronic.fr/art-jeu-de-75-serre-cables-tf01-6382.htm"/>
    <hyperlink ref="F31" r:id="rId16" display="https://www.gotronic.fr/art-cordon-jst-ph-femelle-4-cts-jst4-22571.htm"/>
    <hyperlink ref="F32" r:id="rId17" display="https://www.gotronic.fr/art-fiche-alim--f-xt60-47680.htm"/>
    <hyperlink ref="F33" r:id="rId18" display="https://www.gotronic.fr/art-fiche-alim--m-xt60-47681.htm"/>
    <hyperlink ref="F34" r:id="rId19" display="https://www.gotronic.fr/art-cable-silicone-cs9040n-5112.htm"/>
    <hyperlink ref="F35" r:id="rId20" display="https://www.gotronic.fr/art-cable-silicone-cs9040r-5115.htm"/>
    <hyperlink ref="F37" r:id="rId21" display="https://www.gotronic.fr/art-fiche-banane-1010r-179.htm"/>
    <hyperlink ref="F38" r:id="rId22" display="https://www.gotronic.fr/art-boite-de-276-gaines-ftk201-5136.htm"/>
    <hyperlink ref="F46" r:id="rId23" display="http://edmundoptics.fr/p/4mm-uc-series-fixed-focal-length-lens/2966/"/>
    <hyperlink ref="F51" r:id="rId24" display="https://www.digikey.fr/fr/products/detail/sahasra-electronic-solutions-limited/CA227-011/22532602"/>
    <hyperlink ref="F52" r:id="rId25" display="https://www.digikey.fr/fr/products/detail/knipex-tools-lp/16-95-01-SB/10451717"/>
    <hyperlink ref="F57" r:id="rId26" display="https://www.amazon.fr/Yizhet-Puissant-Bricolage-r%C3%A9frig%C3%A9rateur-10X10X4mm/dp/B07H2BVXDL/ref=sr_1_11"/>
    <hyperlink ref="F58" r:id="rId27" display="https://www.amazon.fr/Electrique-Sertissage-%C3%A9lectrique-industries-%C3%A9lectriques/dp/B0DPHPJDDP/ref=sr_1_1?__mk_fr_FR=%C3%85M%C3%85%C5%BD%C3%95%C3%91&amp;sr=8-1"/>
    <hyperlink ref="F59" r:id="rId28" display="https://www.amazon.fr/MZHOU-Convertisseur-12V-24V-transformateur/dp/B0DCVB41RB/ref=sr_1_1?__mk_fr_FR=%C3%85M%C3%85%C5%BD%C3%95%C3%91&amp;s=electronics&amp;sr=1-1"/>
    <hyperlink ref="F60" r:id="rId29" display="https://www.amazon.fr/YIXISI-XT30-Connecteur-Silicium-Batterie/dp/B0CF8B8WWT?__mk_fr_FR=%C3%85M%C3%85%C5%BD%C3%95%C3%91&amp;crid=2XGW30ARVXU3U&amp;dib=eyJ2IjoiMSJ9.Jc9Mi0jlYWIsBXWaOCjh20WQaWy5MR6xSwR7ZOLLgwYx5OWQgdOTWrCQBuFG5lRKwvRFRaNGC9Ou3862j9uXudfjKF4EdhKV34oeAghvJpGc19O0Yn58EGIiZAvUk4wbbfZRC7LdQvGeNmuUL8xymCyAianfAzpSWcF7mlxLc80HN3_lWTbJHYA3onY4FReowUzHLKiQNdbIhxVGVv4ChuT_AUiGeLmgQ5OIGONaf_2v2dFC_gERu-f5ccGNX7txoSqL5jhesAUabnOWK96yQIEGxPqJokVV91joD_ncO_U.7272sRSibweqQ84og4QRnF0oWg7IRVqHEkL4oTBea2E&amp;dib_tag=se&amp;keywords=yixisi%2B5%2Bpaires%2Bxt30&amp;qid=1772724540&amp;sprefix=yixisi%2B5%2Bpaires%2Bxt30%2Caps%2C277&amp;sr=8-2&amp;th=1"/>
    <hyperlink ref="F61" r:id="rId30" display="https://www.amazon.fr/Plaque-batterie-Soudure-Compatible-Soudeur/dp/B09TT4KMLB"/>
    <hyperlink ref="F62" r:id="rId31" display="https://www.amazon.fr/MMOBIEL-Polyimide-longueur-Antistatique-R%C3%A9sistant/dp/B07W4KWKKB"/>
    <hyperlink ref="F63" r:id="rId32" display="https://www.amazon.fr/Geekworm-Raspberry-Installation-Hexagonale-Accessoires/dp/B07MN2GY6Y/ref=sr_1_21"/>
    <hyperlink ref="F64" r:id="rId33" display="https://www.amazon.fr/Neulriscn-R%C3%A9glable-Batteries-Dimpulsion-Fabrication/dp/B0DNQHWD2Q/ref=sr_1_1?__mk_fr_FR=%C3%85M%C3%85%C5%BD%C3%95%C3%91&amp;s=hi&amp;sr=1-1"/>
    <hyperlink ref="F65" r:id="rId34" display="https://www.amazon.fr/0-08-1mm%C2%B2-Preciva-Sertissage-Connecteurs-Connecteur/dp/B0CVVXWQV1/ref=sr_1_6?__mk_fr_FR=%C3%85M%C3%85%C5%BD%C3%95%C3%91&amp;sr=8-6"/>
    <hyperlink ref="F67" r:id="rId35" display="https://www.amazon.fr/dp/B0BQ73KNXM?ref=ppx_yo2ov_dt_b_fed_asin_title"/>
    <hyperlink ref="F72" r:id="rId36" display="https://www.conrad.fr/fr/p/pile-rechargeable-speciale-18650-samsung-s9009316342928-resiste-aux-courants-eleves-a-tete-plate-li-ion-3-6-v-3450-mah-1499572.html"/>
    <hyperlink ref="F77" r:id="rId37" display="https://www.nootica.fr/plomb-de-ceinture-sublest-1-kg.html"/>
    <hyperlink ref="F78" r:id="rId38" display="https://www.nootica.fr/cordage-de-peche-movline-coulant-30-m.html"/>
    <hyperlink ref="F79" r:id="rId39" display="https://www.nootica.fr/bouee-plastimo-de-mouillage.html"/>
    <hyperlink ref="F89" r:id="rId40" display="https://www.omc-stepperonline.com/e-series-nema-17-bipolar-26ncm-36-82oz-in-1-2a-42x42x30mm-4-wires-w-1m-cable-connector-17he12-1204s"/>
    <hyperlink ref="F90" r:id="rId41" display="https://www.omc-stepperonline.com/eg-series-planetary-gearbox-gear-ratio-100-1-backlash-20-arc-min-for-nema-17-stepper-motor-eg17-g100"/>
    <hyperlink ref="F91" r:id="rId42" display="https://www.omc-stepperonline.com/8mm-8mm-flexible-jaw-coupling-25x30mm-cnc-stepper-motor-shaft-coupler-mh2530-8-8"/>
    <hyperlink ref="F96" r:id="rId43" location="/3-poids_net-1_kg_175mm" display="https://www.arianeplast.com/fr/3d-filament-petg/2744-893-petg-blanc-anti-uv-3d-filament-arianeplast-fabrique-en-france.html#/3-poids_net-1_kg_175mm"/>
    <hyperlink ref="F101" r:id="rId44" location="ECRHU02.5A4" display="https://www.bricovis.fr/produit-ecrou-hu-inox-a4-din-934-ecrhua4/#ECRHU02.5A4"/>
    <hyperlink ref="F102" r:id="rId45" location="TCHC02.5/006A4EF" display="https://www.bricovis.fr/produit-vis-a-tete-cylindrique-hexagonale-creuse-inox-a4-filetage-total-din-912-tchca4ef/#TCHC02.5/006A4EF"/>
    <hyperlink ref="F103" r:id="rId46" location="TCHC02.5/010A4EF" display="https://www.bricovis.fr/produit-vis-a-tete-cylindrique-hexagonale-creuse-inox-a4-filetage-total-din-912-tchca4ef/#TCHC02.5/010A4EF"/>
    <hyperlink ref="F104" r:id="rId47" location="TCHC03/010A4EF" display="https://www.bricovis.fr/produit-vis-a-tete-cylindrique-hexagonale-creuse-inox-a4-filetage-total-din-912-tchca4ef/#TCHC03/010A4EF"/>
    <hyperlink ref="F105" r:id="rId48" location="TCHC02.5/008A4EF" display="https://www.bricovis.fr/produit-vis-a-tete-cylindrique-hexagonale-creuse-inox-a4-filetage-total-din-912-tchca4ef/#TCHC02.5/008A4EF"/>
    <hyperlink ref="F108" r:id="rId49" location="ECRAIL04A4" display="https://www.bricovis.fr/produit-ecrou-a-ailette-inox-a4-ecraila4/#ECRAIL04A4"/>
    <hyperlink ref="F111" r:id="rId50" location="ENTH04/010MFLAINI" display="https://www.bricovis.fr/produit-entretoise-hexagonale-male-femelle-laiton-nickele-entmlai/#ENTH04/010MFLAINI"/>
    <hyperlink ref="F112" r:id="rId51" location="TCHC04/008A4EF" display="https://www.bricovis.fr/produit-vis-a-tete-cylindrique-hexagonale-creuse-inox-a4-filetage-total-din-912-tchca4ef/#TCHC04/008A4EF"/>
    <hyperlink ref="F113" r:id="rId52" location="STHCPTO06/010A4" display="https://www.bricovis.fr/produit-vis-sans-tete-hexagonale-creuse-bout-pointeau-inox-a4-din-914-sthcptoa4/#STHCPTO06/010A4"/>
    <hyperlink ref="F114" r:id="rId53" location="TCHC04/010A4EF" display="https://www.bricovis.fr/produit-vis-a-tete-cylindrique-hexagonale-creuse-inox-a4-filetage-total-din-912-tchca4ef/#TCHC04/010A4EF"/>
    <hyperlink ref="F115" r:id="rId54" location="TCHC06/010A4EF" display="https://www.bricovis.fr/produit-vis-a-tete-cylindrique-hexagonale-creuse-inox-a4-filetage-total-din-912-tchca4ef/#TCHC06/010A4EF"/>
    <hyperlink ref="F116" r:id="rId55" location="TH16/040A4EF" display="https://www.bricovis.fr/produit-vis-a-tete-hexagonale-inox-a4-filetage-total-din-933-tha4ef/#TH16/040A4EF"/>
    <hyperlink ref="F117" r:id="rId56" location="RONLL16A4" display="https://www.bricovis.fr/produit-rondelle-ll-inox-a4-nfe-25513-ronlla4/#RONLL16A4"/>
    <hyperlink ref="F118" r:id="rId57" location="ECRNYL16A4" display="https://www.bricovis.fr/produit-ecrou-nylstop-inox-a4-din-985-ecrnyla4/#ECRNYL16A4"/>
    <hyperlink ref="F119" r:id="rId58" location="ECRANN08A4" display="https://www.bricovis.fr/produit-ecrou-a-anneau-inox-a4-acca64631/#ECRANN08A4"/>
    <hyperlink ref="F120" r:id="rId59" location="RONLL08A4" display="https://www.bricovis.fr/produit-rondelle-ll-inox-a4-nfe-25513-ronlla4/#RONLL08A4"/>
    <hyperlink ref="F121" r:id="rId60" location="TCHC08/025A4EF" display="https://www.bricovis.fr/produit-vis-a-tete-cylindrique-hexagonale-creuse-inox-a4-filetage-total-din-912-tchca4ef/#TCHC08/025A4EF"/>
    <hyperlink ref="F122" r:id="rId61" location="TCHC03/014A4EF" display="https://www.bricovis.fr/produit-vis-a-tete-cylindrique-hexagonale-creuse-inox-a4-filetage-total-din-912-tchca4ef/#TCHC03/014A4EF"/>
    <hyperlink ref="F123" r:id="rId62" location="TCHC03/006A4" display="https://www.bricovis.fr/produit-vis-a-tete-cylindrique-hexagonale-creuse-inox-a4-filetage-total-din-912-tchca4ef/#TCHC03/006A4"/>
    <hyperlink ref="F128" r:id="rId63" display="https://fr.rs-online.com/web/p/mallettes-de-transport/0630038"/>
  </hyperlinks>
  <printOptions headings="false" gridLines="false" gridLinesSet="true" horizontalCentered="false" verticalCentered="false"/>
  <pageMargins left="0.623611111111111" right="0.580555555555556" top="0.489583333333333" bottom="0.574305555555556" header="0.511811023622047" footer="0.511811023622047"/>
  <pageSetup paperSize="8" scale="100" fitToWidth="0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1725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2022-09-30T10:25:47Z</dcterms:created>
  <dc:creator>Olivier FAUVARQUE</dc:creator>
  <dc:description/>
  <dc:language>fr-FR</dc:language>
  <cp:lastModifiedBy/>
  <cp:lastPrinted>2025-09-24T14:23:58Z</cp:lastPrinted>
  <dcterms:modified xsi:type="dcterms:W3CDTF">2026-10-20T11:10:23Z</dcterms:modified>
  <cp:revision>155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